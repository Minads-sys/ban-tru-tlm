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6"/>
  <workbookPr/>
  <mc:AlternateContent xmlns:mc="http://schemas.openxmlformats.org/markup-compatibility/2006">
    <mc:Choice Requires="x15">
      <x15ac:absPath xmlns:x15ac="http://schemas.microsoft.com/office/spreadsheetml/2010/11/ac" url="D:\TLM\2526\"/>
    </mc:Choice>
  </mc:AlternateContent>
  <xr:revisionPtr revIDLastSave="0" documentId="13_ncr:1_{C3E2487C-F045-43CF-B17F-8D40F1CA7AF4}" xr6:coauthVersionLast="47" xr6:coauthVersionMax="47" xr10:uidLastSave="{00000000-0000-0000-0000-000000000000}"/>
  <bookViews>
    <workbookView xWindow="-108" yWindow="-108" windowWidth="23256" windowHeight="12576" xr2:uid="{7211C5B2-8158-4B30-B6E0-E19C6CB0412D}"/>
  </bookViews>
  <sheets>
    <sheet name="Ban tru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48" i="8" l="1"/>
  <c r="BD48" i="8"/>
  <c r="BB48" i="8"/>
  <c r="AZ48" i="8"/>
  <c r="AX48" i="8"/>
  <c r="AQ48" i="8"/>
  <c r="AO48" i="8"/>
  <c r="AM48" i="8"/>
  <c r="AK48" i="8"/>
  <c r="AI48" i="8"/>
  <c r="AB48" i="8"/>
  <c r="Z48" i="8"/>
  <c r="X48" i="8"/>
  <c r="V48" i="8"/>
  <c r="T48" i="8"/>
  <c r="M48" i="8"/>
  <c r="K48" i="8"/>
  <c r="I48" i="8"/>
  <c r="G48" i="8"/>
  <c r="E48" i="8"/>
  <c r="BF47" i="8"/>
  <c r="BD47" i="8"/>
  <c r="BB47" i="8"/>
  <c r="AZ47" i="8"/>
  <c r="AX47" i="8"/>
  <c r="AQ47" i="8"/>
  <c r="AO47" i="8"/>
  <c r="AM47" i="8"/>
  <c r="AK47" i="8"/>
  <c r="AI47" i="8"/>
  <c r="AB47" i="8"/>
  <c r="Z47" i="8"/>
  <c r="X47" i="8"/>
  <c r="V47" i="8"/>
  <c r="T47" i="8"/>
  <c r="M47" i="8"/>
  <c r="K47" i="8"/>
  <c r="I47" i="8"/>
  <c r="G47" i="8"/>
  <c r="E47" i="8"/>
  <c r="AQ44" i="8"/>
  <c r="Z44" i="8"/>
  <c r="K44" i="8"/>
  <c r="D44" i="8"/>
  <c r="C44" i="8"/>
  <c r="AH43" i="8"/>
  <c r="AW43" i="8"/>
  <c r="AF43" i="8"/>
  <c r="AU43" i="8"/>
  <c r="S43" i="8"/>
  <c r="R43" i="8"/>
  <c r="AG43" i="8"/>
  <c r="AV43" i="8"/>
  <c r="Q43" i="8"/>
  <c r="P43" i="8"/>
  <c r="AE43" i="8"/>
  <c r="AT43" i="8"/>
  <c r="B43" i="8"/>
  <c r="AW42" i="8"/>
  <c r="AG42" i="8"/>
  <c r="AV42" i="8"/>
  <c r="AE42" i="8"/>
  <c r="AT42" i="8"/>
  <c r="S42" i="8"/>
  <c r="AH42" i="8"/>
  <c r="R42" i="8"/>
  <c r="P42" i="8"/>
  <c r="B42" i="8"/>
  <c r="Q42" i="8"/>
  <c r="AF42" i="8"/>
  <c r="AU42" i="8"/>
  <c r="AH41" i="8"/>
  <c r="AW41" i="8"/>
  <c r="AF41" i="8"/>
  <c r="AU41" i="8"/>
  <c r="S41" i="8"/>
  <c r="R41" i="8"/>
  <c r="AG41" i="8"/>
  <c r="AV41" i="8"/>
  <c r="Q41" i="8"/>
  <c r="P41" i="8"/>
  <c r="AE41" i="8"/>
  <c r="AT41" i="8"/>
  <c r="B41" i="8"/>
  <c r="S40" i="8"/>
  <c r="AH40" i="8"/>
  <c r="AW40" i="8"/>
  <c r="R40" i="8"/>
  <c r="AG40" i="8"/>
  <c r="AV40" i="8"/>
  <c r="Q40" i="8"/>
  <c r="AF40" i="8"/>
  <c r="AU40" i="8"/>
  <c r="P40" i="8"/>
  <c r="AE40" i="8"/>
  <c r="AT40" i="8"/>
  <c r="B40" i="8"/>
  <c r="AW39" i="8"/>
  <c r="AG39" i="8"/>
  <c r="AV39" i="8"/>
  <c r="AF39" i="8"/>
  <c r="AU39" i="8"/>
  <c r="S39" i="8"/>
  <c r="AH39" i="8"/>
  <c r="R39" i="8"/>
  <c r="Q39" i="8"/>
  <c r="P39" i="8"/>
  <c r="AE39" i="8"/>
  <c r="AT39" i="8"/>
  <c r="B39" i="8"/>
  <c r="AT38" i="8"/>
  <c r="AH38" i="8"/>
  <c r="AW38" i="8"/>
  <c r="AE38" i="8"/>
  <c r="S38" i="8"/>
  <c r="R38" i="8"/>
  <c r="AG38" i="8"/>
  <c r="AV38" i="8"/>
  <c r="P38" i="8"/>
  <c r="B38" i="8"/>
  <c r="Q38" i="8"/>
  <c r="AF38" i="8"/>
  <c r="AU38" i="8"/>
  <c r="AH37" i="8"/>
  <c r="AW37" i="8"/>
  <c r="S37" i="8"/>
  <c r="R37" i="8"/>
  <c r="AG37" i="8"/>
  <c r="AV37" i="8"/>
  <c r="Q37" i="8"/>
  <c r="AF37" i="8"/>
  <c r="AU37" i="8"/>
  <c r="P37" i="8"/>
  <c r="AE37" i="8"/>
  <c r="AT37" i="8"/>
  <c r="B37" i="8"/>
  <c r="AV36" i="8"/>
  <c r="S36" i="8"/>
  <c r="AH36" i="8"/>
  <c r="AW36" i="8"/>
  <c r="R36" i="8"/>
  <c r="AG36" i="8"/>
  <c r="Q36" i="8"/>
  <c r="AF36" i="8"/>
  <c r="AU36" i="8"/>
  <c r="P36" i="8"/>
  <c r="AE36" i="8"/>
  <c r="AT36" i="8"/>
  <c r="B36" i="8"/>
  <c r="AH35" i="8"/>
  <c r="AW35" i="8"/>
  <c r="S35" i="8"/>
  <c r="R35" i="8"/>
  <c r="AG35" i="8"/>
  <c r="AV35" i="8"/>
  <c r="P35" i="8"/>
  <c r="AE35" i="8"/>
  <c r="AT35" i="8"/>
  <c r="B35" i="8"/>
  <c r="Q35" i="8"/>
  <c r="AF35" i="8"/>
  <c r="AU35" i="8"/>
  <c r="AH34" i="8"/>
  <c r="AW34" i="8"/>
  <c r="S34" i="8"/>
  <c r="R34" i="8"/>
  <c r="AG34" i="8"/>
  <c r="AV34" i="8"/>
  <c r="P34" i="8"/>
  <c r="AE34" i="8"/>
  <c r="AT34" i="8"/>
  <c r="B34" i="8"/>
  <c r="Q34" i="8"/>
  <c r="AF34" i="8"/>
  <c r="AU34" i="8"/>
  <c r="S33" i="8"/>
  <c r="AH33" i="8"/>
  <c r="AW33" i="8"/>
  <c r="R33" i="8"/>
  <c r="AG33" i="8"/>
  <c r="AV33" i="8"/>
  <c r="P33" i="8"/>
  <c r="AE33" i="8"/>
  <c r="AT33" i="8"/>
  <c r="B33" i="8"/>
  <c r="Q33" i="8"/>
  <c r="AF33" i="8"/>
  <c r="AU33" i="8"/>
  <c r="AU32" i="8"/>
  <c r="AG32" i="8"/>
  <c r="AV32" i="8"/>
  <c r="S32" i="8"/>
  <c r="AH32" i="8"/>
  <c r="AW32" i="8"/>
  <c r="R32" i="8"/>
  <c r="Q32" i="8"/>
  <c r="AF32" i="8"/>
  <c r="P32" i="8"/>
  <c r="AE32" i="8"/>
  <c r="AT32" i="8"/>
  <c r="B32" i="8"/>
  <c r="AH31" i="8"/>
  <c r="AW31" i="8"/>
  <c r="AG31" i="8"/>
  <c r="AV31" i="8"/>
  <c r="S31" i="8"/>
  <c r="R31" i="8"/>
  <c r="Q31" i="8"/>
  <c r="AF31" i="8"/>
  <c r="AU31" i="8"/>
  <c r="P31" i="8"/>
  <c r="AE31" i="8"/>
  <c r="AT31" i="8"/>
  <c r="B31" i="8"/>
  <c r="AH30" i="8"/>
  <c r="AW30" i="8"/>
  <c r="AE30" i="8"/>
  <c r="AT30" i="8"/>
  <c r="S30" i="8"/>
  <c r="R30" i="8"/>
  <c r="AG30" i="8"/>
  <c r="AV30" i="8"/>
  <c r="P30" i="8"/>
  <c r="B30" i="8"/>
  <c r="Q30" i="8"/>
  <c r="AF30" i="8"/>
  <c r="AU30" i="8"/>
  <c r="AU29" i="8"/>
  <c r="AT29" i="8"/>
  <c r="AE29" i="8"/>
  <c r="S29" i="8"/>
  <c r="AH29" i="8"/>
  <c r="AW29" i="8"/>
  <c r="R29" i="8"/>
  <c r="AG29" i="8"/>
  <c r="AV29" i="8"/>
  <c r="P29" i="8"/>
  <c r="B29" i="8"/>
  <c r="Q29" i="8"/>
  <c r="AF29" i="8"/>
  <c r="AT28" i="8"/>
  <c r="AF28" i="8"/>
  <c r="AU28" i="8"/>
  <c r="S28" i="8"/>
  <c r="AH28" i="8"/>
  <c r="AW28" i="8"/>
  <c r="R28" i="8"/>
  <c r="AG28" i="8"/>
  <c r="AV28" i="8"/>
  <c r="Q28" i="8"/>
  <c r="P28" i="8"/>
  <c r="AE28" i="8"/>
  <c r="B28" i="8"/>
  <c r="AW27" i="8"/>
  <c r="AH27" i="8"/>
  <c r="AG27" i="8"/>
  <c r="AV27" i="8"/>
  <c r="AF27" i="8"/>
  <c r="AU27" i="8"/>
  <c r="S27" i="8"/>
  <c r="R27" i="8"/>
  <c r="Q27" i="8"/>
  <c r="P27" i="8"/>
  <c r="AE27" i="8"/>
  <c r="AT27" i="8"/>
  <c r="B27" i="8"/>
  <c r="AV26" i="8"/>
  <c r="AT26" i="8"/>
  <c r="AG26" i="8"/>
  <c r="AE26" i="8"/>
  <c r="S26" i="8"/>
  <c r="AH26" i="8"/>
  <c r="AW26" i="8"/>
  <c r="R26" i="8"/>
  <c r="P26" i="8"/>
  <c r="B26" i="8"/>
  <c r="Q26" i="8"/>
  <c r="AF26" i="8"/>
  <c r="AU26" i="8"/>
  <c r="AT25" i="8"/>
  <c r="S25" i="8"/>
  <c r="AH25" i="8"/>
  <c r="AW25" i="8"/>
  <c r="R25" i="8"/>
  <c r="AG25" i="8"/>
  <c r="AV25" i="8"/>
  <c r="P25" i="8"/>
  <c r="AE25" i="8"/>
  <c r="B25" i="8"/>
  <c r="Q25" i="8"/>
  <c r="AF25" i="8"/>
  <c r="AU25" i="8"/>
  <c r="S24" i="8"/>
  <c r="AH24" i="8"/>
  <c r="AW24" i="8"/>
  <c r="R24" i="8"/>
  <c r="AG24" i="8"/>
  <c r="AV24" i="8"/>
  <c r="Q24" i="8"/>
  <c r="AF24" i="8"/>
  <c r="AU24" i="8"/>
  <c r="P24" i="8"/>
  <c r="AE24" i="8"/>
  <c r="AT24" i="8"/>
  <c r="B24" i="8"/>
  <c r="AV23" i="8"/>
  <c r="AG23" i="8"/>
  <c r="S23" i="8"/>
  <c r="AH23" i="8"/>
  <c r="AW23" i="8"/>
  <c r="R23" i="8"/>
  <c r="P23" i="8"/>
  <c r="AE23" i="8"/>
  <c r="AT23" i="8"/>
  <c r="B23" i="8"/>
  <c r="Q23" i="8"/>
  <c r="AF23" i="8"/>
  <c r="AU23" i="8"/>
  <c r="AV22" i="8"/>
  <c r="AE22" i="8"/>
  <c r="AT22" i="8"/>
  <c r="S22" i="8"/>
  <c r="AH22" i="8"/>
  <c r="AW22" i="8"/>
  <c r="R22" i="8"/>
  <c r="AG22" i="8"/>
  <c r="P22" i="8"/>
  <c r="B22" i="8"/>
  <c r="Q22" i="8"/>
  <c r="AF22" i="8"/>
  <c r="AU22" i="8"/>
  <c r="AW21" i="8"/>
  <c r="AH21" i="8"/>
  <c r="S21" i="8"/>
  <c r="R21" i="8"/>
  <c r="AG21" i="8"/>
  <c r="AV21" i="8"/>
  <c r="Q21" i="8"/>
  <c r="AF21" i="8"/>
  <c r="AU21" i="8"/>
  <c r="P21" i="8"/>
  <c r="AE21" i="8"/>
  <c r="AT21" i="8"/>
  <c r="B21" i="8"/>
  <c r="S20" i="8"/>
  <c r="AH20" i="8"/>
  <c r="AW20" i="8"/>
  <c r="R20" i="8"/>
  <c r="AG20" i="8"/>
  <c r="AV20" i="8"/>
  <c r="Q20" i="8"/>
  <c r="AF20" i="8"/>
  <c r="AU20" i="8"/>
  <c r="P20" i="8"/>
  <c r="AE20" i="8"/>
  <c r="AT20" i="8"/>
  <c r="B20" i="8"/>
  <c r="AV19" i="8"/>
  <c r="S19" i="8"/>
  <c r="AH19" i="8"/>
  <c r="AW19" i="8"/>
  <c r="R19" i="8"/>
  <c r="AG19" i="8"/>
  <c r="P19" i="8"/>
  <c r="AE19" i="8"/>
  <c r="AT19" i="8"/>
  <c r="B19" i="8"/>
  <c r="Q19" i="8"/>
  <c r="AF19" i="8"/>
  <c r="AU19" i="8"/>
  <c r="AG18" i="8"/>
  <c r="AV18" i="8"/>
  <c r="S18" i="8"/>
  <c r="AH18" i="8"/>
  <c r="AW18" i="8"/>
  <c r="R18" i="8"/>
  <c r="P18" i="8"/>
  <c r="AE18" i="8"/>
  <c r="AT18" i="8"/>
  <c r="B18" i="8"/>
  <c r="Q18" i="8"/>
  <c r="AF18" i="8"/>
  <c r="AU18" i="8"/>
  <c r="AW17" i="8"/>
  <c r="S17" i="8"/>
  <c r="AH17" i="8"/>
  <c r="R17" i="8"/>
  <c r="AG17" i="8"/>
  <c r="AV17" i="8"/>
  <c r="Q17" i="8"/>
  <c r="AF17" i="8"/>
  <c r="AU17" i="8"/>
  <c r="P17" i="8"/>
  <c r="AE17" i="8"/>
  <c r="AT17" i="8"/>
  <c r="B17" i="8"/>
  <c r="AG16" i="8"/>
  <c r="AV16" i="8"/>
  <c r="S16" i="8"/>
  <c r="AH16" i="8"/>
  <c r="AW16" i="8"/>
  <c r="R16" i="8"/>
  <c r="Q16" i="8"/>
  <c r="AF16" i="8"/>
  <c r="AU16" i="8"/>
  <c r="P16" i="8"/>
  <c r="AE16" i="8"/>
  <c r="AT16" i="8"/>
  <c r="B16" i="8"/>
  <c r="S15" i="8"/>
  <c r="AH15" i="8"/>
  <c r="AW15" i="8"/>
  <c r="R15" i="8"/>
  <c r="AG15" i="8"/>
  <c r="AV15" i="8"/>
  <c r="P15" i="8"/>
  <c r="AE15" i="8"/>
  <c r="AT15" i="8"/>
  <c r="B15" i="8"/>
  <c r="Q15" i="8"/>
  <c r="AF15" i="8"/>
  <c r="AU15" i="8"/>
  <c r="AW14" i="8"/>
  <c r="AH14" i="8"/>
  <c r="AG14" i="8"/>
  <c r="AV14" i="8"/>
  <c r="S14" i="8"/>
  <c r="R14" i="8"/>
  <c r="Q14" i="8"/>
  <c r="AF14" i="8"/>
  <c r="AU14" i="8"/>
  <c r="P14" i="8"/>
  <c r="AE14" i="8"/>
  <c r="AT14" i="8"/>
  <c r="B14" i="8"/>
  <c r="AV13" i="8"/>
  <c r="AG13" i="8"/>
  <c r="S13" i="8"/>
  <c r="AH13" i="8"/>
  <c r="AW13" i="8"/>
  <c r="R13" i="8"/>
  <c r="P13" i="8"/>
  <c r="AE13" i="8"/>
  <c r="AT13" i="8"/>
  <c r="B13" i="8"/>
  <c r="Q13" i="8"/>
  <c r="AF13" i="8"/>
  <c r="AU13" i="8"/>
  <c r="AT12" i="8"/>
  <c r="AH12" i="8"/>
  <c r="AW12" i="8"/>
  <c r="AE12" i="8"/>
  <c r="S12" i="8"/>
  <c r="R12" i="8"/>
  <c r="AG12" i="8"/>
  <c r="AV12" i="8"/>
  <c r="P12" i="8"/>
  <c r="B12" i="8"/>
  <c r="Q12" i="8"/>
  <c r="AF12" i="8"/>
  <c r="AU12" i="8"/>
  <c r="AW11" i="8"/>
  <c r="AH11" i="8"/>
  <c r="S11" i="8"/>
  <c r="R11" i="8"/>
  <c r="AG11" i="8"/>
  <c r="AV11" i="8"/>
  <c r="Q11" i="8"/>
  <c r="AF11" i="8"/>
  <c r="AU11" i="8"/>
  <c r="P11" i="8"/>
  <c r="AE11" i="8"/>
  <c r="AT11" i="8"/>
  <c r="B11" i="8"/>
  <c r="AX44" i="8"/>
  <c r="S10" i="8"/>
  <c r="AH10" i="8"/>
  <c r="AW10" i="8"/>
  <c r="R10" i="8"/>
  <c r="AG10" i="8"/>
  <c r="AV10" i="8"/>
  <c r="Q10" i="8"/>
  <c r="AF10" i="8"/>
  <c r="AU10" i="8"/>
  <c r="P10" i="8"/>
  <c r="AE10" i="8"/>
  <c r="AT10" i="8"/>
  <c r="B10" i="8"/>
  <c r="AH9" i="8"/>
  <c r="AW9" i="8"/>
  <c r="S9" i="8"/>
  <c r="R9" i="8"/>
  <c r="AG9" i="8"/>
  <c r="AV9" i="8"/>
  <c r="P9" i="8"/>
  <c r="AE9" i="8"/>
  <c r="AT9" i="8"/>
  <c r="B9" i="8"/>
  <c r="I44" i="8"/>
  <c r="AW8" i="8"/>
  <c r="AH8" i="8"/>
  <c r="AG8" i="8"/>
  <c r="AV8" i="8"/>
  <c r="S8" i="8"/>
  <c r="R8" i="8"/>
  <c r="P8" i="8"/>
  <c r="AE8" i="8"/>
  <c r="AT8" i="8"/>
  <c r="B8" i="8"/>
  <c r="S7" i="8"/>
  <c r="R7" i="8"/>
  <c r="AG7" i="8"/>
  <c r="AV7" i="8"/>
  <c r="P7" i="8"/>
  <c r="AE7" i="8"/>
  <c r="AT7" i="8"/>
  <c r="B7" i="8"/>
  <c r="S6" i="8"/>
  <c r="AH6" i="8"/>
  <c r="AW6" i="8"/>
  <c r="R6" i="8"/>
  <c r="AG6" i="8"/>
  <c r="AV6" i="8"/>
  <c r="Q6" i="8"/>
  <c r="AF6" i="8"/>
  <c r="AU6" i="8"/>
  <c r="P6" i="8"/>
  <c r="AE6" i="8"/>
  <c r="AT6" i="8"/>
  <c r="B6" i="8"/>
  <c r="AW5" i="8"/>
  <c r="AH5" i="8"/>
  <c r="AG5" i="8"/>
  <c r="S5" i="8"/>
  <c r="R5" i="8"/>
  <c r="R44" i="8"/>
  <c r="Q5" i="8"/>
  <c r="P5" i="8"/>
  <c r="AE5" i="8"/>
  <c r="AT5" i="8"/>
  <c r="B5" i="8"/>
  <c r="AZ44" i="8"/>
  <c r="AP44" i="8"/>
  <c r="X44" i="8"/>
  <c r="AA44" i="8"/>
  <c r="Z46" i="8"/>
  <c r="V44" i="8"/>
  <c r="BE44" i="8"/>
  <c r="G44" i="8"/>
  <c r="Q7" i="8"/>
  <c r="AF7" i="8"/>
  <c r="AU7" i="8"/>
  <c r="BB44" i="8"/>
  <c r="AR44" i="8"/>
  <c r="AQ46" i="8"/>
  <c r="AK44" i="8"/>
  <c r="AC44" i="8"/>
  <c r="L44" i="8"/>
  <c r="K46" i="8"/>
  <c r="BG44" i="8"/>
  <c r="AW44" i="8"/>
  <c r="AF5" i="8"/>
  <c r="AG44" i="8"/>
  <c r="AV5" i="8"/>
  <c r="AV44" i="8"/>
  <c r="AH7" i="8"/>
  <c r="AW7" i="8"/>
  <c r="S44" i="8"/>
  <c r="AJ44" i="8"/>
  <c r="AY44" i="8"/>
  <c r="AX46" i="8"/>
  <c r="AH44" i="8"/>
  <c r="E44" i="8"/>
  <c r="U44" i="8"/>
  <c r="AL44" i="8"/>
  <c r="N44" i="8"/>
  <c r="F44" i="8"/>
  <c r="B44" i="8"/>
  <c r="BA44" i="8"/>
  <c r="M44" i="8"/>
  <c r="W44" i="8"/>
  <c r="AM44" i="8"/>
  <c r="BC44" i="8"/>
  <c r="BD44" i="8"/>
  <c r="AB44" i="8"/>
  <c r="AB46" i="8"/>
  <c r="BF44" i="8"/>
  <c r="Q8" i="8"/>
  <c r="AF8" i="8"/>
  <c r="AU8" i="8"/>
  <c r="Q9" i="8"/>
  <c r="AF9" i="8"/>
  <c r="AU9" i="8"/>
  <c r="J44" i="8"/>
  <c r="I46" i="8"/>
  <c r="AN44" i="8"/>
  <c r="H44" i="8"/>
  <c r="Y44" i="8"/>
  <c r="AO44" i="8"/>
  <c r="T44" i="8"/>
  <c r="AI44" i="8"/>
  <c r="AI46" i="8"/>
  <c r="BF46" i="8"/>
  <c r="T46" i="8"/>
  <c r="M46" i="8"/>
  <c r="X46" i="8"/>
  <c r="G46" i="8"/>
  <c r="E46" i="8"/>
  <c r="AF44" i="8"/>
  <c r="AU5" i="8"/>
  <c r="AU44" i="8"/>
  <c r="BB46" i="8"/>
  <c r="V46" i="8"/>
  <c r="AZ46" i="8"/>
  <c r="AK46" i="8"/>
  <c r="AM46" i="8"/>
  <c r="AO46" i="8"/>
  <c r="BD46" i="8"/>
  <c r="Q44" i="8"/>
</calcChain>
</file>

<file path=xl/sharedStrings.xml><?xml version="1.0" encoding="utf-8"?>
<sst xmlns="http://schemas.openxmlformats.org/spreadsheetml/2006/main" count="496" uniqueCount="58">
  <si>
    <t>10A1</t>
  </si>
  <si>
    <t>10A5</t>
  </si>
  <si>
    <t>12A6</t>
  </si>
  <si>
    <t>10A12</t>
  </si>
  <si>
    <t>12A8</t>
  </si>
  <si>
    <t>11A5</t>
  </si>
  <si>
    <t>11A1</t>
  </si>
  <si>
    <t>10A3</t>
  </si>
  <si>
    <t>12A1</t>
  </si>
  <si>
    <t>12A13</t>
  </si>
  <si>
    <t>12A11</t>
  </si>
  <si>
    <t>12A2</t>
  </si>
  <si>
    <t>11A14</t>
  </si>
  <si>
    <t>11A4</t>
  </si>
  <si>
    <t>12A4</t>
  </si>
  <si>
    <t>11A13</t>
  </si>
  <si>
    <t>11A6</t>
  </si>
  <si>
    <t>11A2</t>
  </si>
  <si>
    <t>12A10</t>
  </si>
  <si>
    <t>12A12</t>
  </si>
  <si>
    <t>12A5</t>
  </si>
  <si>
    <t>10A9</t>
  </si>
  <si>
    <t>12A7</t>
  </si>
  <si>
    <t>10A2</t>
  </si>
  <si>
    <t>12A3</t>
  </si>
  <si>
    <t>12A9</t>
  </si>
  <si>
    <t>11A3</t>
  </si>
  <si>
    <t>11A7</t>
  </si>
  <si>
    <t>11A12</t>
  </si>
  <si>
    <t>11A8</t>
  </si>
  <si>
    <t>11A10</t>
  </si>
  <si>
    <t>10A11</t>
  </si>
  <si>
    <t>10A10</t>
  </si>
  <si>
    <t>10A6</t>
  </si>
  <si>
    <t>10A4</t>
  </si>
  <si>
    <t>11A11</t>
  </si>
  <si>
    <t>10A7</t>
  </si>
  <si>
    <t>11A9</t>
  </si>
  <si>
    <t>10A8</t>
  </si>
  <si>
    <t>Lớp</t>
  </si>
  <si>
    <t>THỐNG KÊ SỐ LƯỢNG BÁN TRÚ - TUẦN THỨ NHẤT CỦA THÁNG</t>
  </si>
  <si>
    <t>THỐNG KÊ SỐ LƯỢNG BÁN TRÚ - TUẦN THỨ HAI CỦA THÁNG</t>
  </si>
  <si>
    <t>THỐNG KÊ SỐ LƯỢNG BÁN TRÚ - TUẦN THỨ BA CỦA THÁNG</t>
  </si>
  <si>
    <t>THỐNG KÊ SỐ LƯỢNG BÁN TRÚ - TUẦN THỨ TƯ CỦA THÁNG</t>
  </si>
  <si>
    <t>Bán trú</t>
  </si>
  <si>
    <t>Nam bán trú</t>
  </si>
  <si>
    <t>Nữ bán trú</t>
  </si>
  <si>
    <t>Thứ 2</t>
  </si>
  <si>
    <t>Thứ 3</t>
  </si>
  <si>
    <t>Thứ 4</t>
  </si>
  <si>
    <t>Thứ 5</t>
  </si>
  <si>
    <t>Thứ 6</t>
  </si>
  <si>
    <t>Tiết 4</t>
  </si>
  <si>
    <t>Tiết 5</t>
  </si>
  <si>
    <t>x</t>
  </si>
  <si>
    <t>Tổng</t>
  </si>
  <si>
    <t>Nam</t>
  </si>
  <si>
    <t>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</si>
</sst>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3"/>
      <color theme="1"/>
      <name val="Times New Roman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/>
    <xf numFmtId="0" fontId="0" fillId="0" borderId="2" xfId="0" applyBorder="1" applyAlignment="1">
      <alignment horizontal="center" vertical="center"/>
    </xf>
    <xf numFmtId="0" fontId="0" fillId="0" borderId="9" xfId="0" applyBorder="1"/>
    <xf numFmtId="0" fontId="0" fillId="0" borderId="4" xfId="0" applyBorder="1"/>
    <xf numFmtId="0" fontId="1" fillId="0" borderId="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" fillId="0" borderId="19" xfId="0" applyFont="1" applyBorder="1" applyAlignment="1">
      <alignment horizontal="center" vertical="center" wrapText="1"/>
    </xf>
    <xf numFmtId="0" fontId="0" fillId="0" borderId="21" xfId="0" applyBorder="1"/>
    <xf numFmtId="0" fontId="1" fillId="0" borderId="8" xfId="0" applyFont="1" applyBorder="1" applyAlignment="1">
      <alignment horizontal="center" vertical="center" wrapText="1"/>
    </xf>
    <xf numFmtId="0" fontId="0" fillId="0" borderId="22" xfId="0" applyBorder="1"/>
    <xf numFmtId="0" fontId="1" fillId="0" borderId="10" xfId="0" applyFont="1" applyBorder="1" applyAlignment="1">
      <alignment horizontal="center" vertical="center" wrapText="1"/>
    </xf>
    <xf numFmtId="0" fontId="0" fillId="0" borderId="23" xfId="0" applyBorder="1"/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8982C9A8-4692-4D0D-B75D-00899E419B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1A08-E4C1-42C6-B0F9-508D69E9858C}">
  <dimension ref="A1:BG48"/>
  <sheetViews>
    <sheetView tabSelected="1" workbookViewId="0">
      <pane ySplit="4" topLeftCell="A11" activePane="bottomLeft" state="frozen"/>
      <selection activeCell="M31" sqref="M31"/>
      <selection pane="bottomLeft" activeCell="BH25" sqref="BH25"/>
    </sheetView>
  </sheetViews>
  <sheetFormatPr defaultColWidth="8.765625" defaultRowHeight="16.5" x14ac:dyDescent="0.2"/>
  <cols>
    <col min="1" max="1" width="6.8046875" style="2" customWidth="1"/>
    <col min="2" max="2" width="5.8828125" style="2" customWidth="1"/>
    <col min="3" max="4" width="7.49609375" style="2" customWidth="1"/>
    <col min="5" max="14" width="6.23046875" style="2" customWidth="1"/>
    <col min="15" max="15" width="8.765625" style="1"/>
    <col min="16" max="16" width="6.8046875" style="2" customWidth="1"/>
    <col min="17" max="17" width="5.8828125" style="2" customWidth="1"/>
    <col min="18" max="19" width="7.49609375" style="2" customWidth="1"/>
    <col min="20" max="29" width="6.23046875" style="2" customWidth="1"/>
    <col min="30" max="30" width="8.765625" style="1"/>
    <col min="31" max="31" width="6.8046875" style="2" customWidth="1"/>
    <col min="32" max="32" width="5.8828125" style="2" customWidth="1"/>
    <col min="33" max="34" width="7.49609375" style="2" customWidth="1"/>
    <col min="35" max="44" width="6.23046875" style="2" customWidth="1"/>
    <col min="45" max="45" width="8.765625" style="1"/>
    <col min="46" max="46" width="6.8046875" style="2" customWidth="1"/>
    <col min="47" max="47" width="5.8828125" style="2" customWidth="1"/>
    <col min="48" max="49" width="7.49609375" style="2" customWidth="1"/>
    <col min="50" max="59" width="6.23046875" style="2" customWidth="1"/>
    <col min="60" max="16384" width="8.765625" style="1"/>
  </cols>
  <sheetData>
    <row r="1" spans="1:59" ht="21" x14ac:dyDescent="0.2">
      <c r="A1" s="25" t="s">
        <v>40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P1" s="25" t="s">
        <v>41</v>
      </c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E1" s="25" t="s">
        <v>42</v>
      </c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T1" s="25" t="s">
        <v>43</v>
      </c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</row>
    <row r="2" spans="1:59" ht="17.25" thickBot="1" x14ac:dyDescent="0.25"/>
    <row r="3" spans="1:59" ht="16.899999999999999" customHeight="1" x14ac:dyDescent="0.2">
      <c r="A3" s="26" t="s">
        <v>39</v>
      </c>
      <c r="B3" s="36" t="s">
        <v>44</v>
      </c>
      <c r="C3" s="38" t="s">
        <v>45</v>
      </c>
      <c r="D3" s="40" t="s">
        <v>46</v>
      </c>
      <c r="E3" s="33" t="s">
        <v>47</v>
      </c>
      <c r="F3" s="34"/>
      <c r="G3" s="33" t="s">
        <v>48</v>
      </c>
      <c r="H3" s="34"/>
      <c r="I3" s="33" t="s">
        <v>49</v>
      </c>
      <c r="J3" s="34"/>
      <c r="K3" s="33" t="s">
        <v>50</v>
      </c>
      <c r="L3" s="34"/>
      <c r="M3" s="33" t="s">
        <v>51</v>
      </c>
      <c r="N3" s="31"/>
      <c r="P3" s="26" t="s">
        <v>39</v>
      </c>
      <c r="Q3" s="36" t="s">
        <v>44</v>
      </c>
      <c r="R3" s="38" t="s">
        <v>45</v>
      </c>
      <c r="S3" s="40" t="s">
        <v>46</v>
      </c>
      <c r="T3" s="33" t="s">
        <v>47</v>
      </c>
      <c r="U3" s="34"/>
      <c r="V3" s="33" t="s">
        <v>48</v>
      </c>
      <c r="W3" s="34"/>
      <c r="X3" s="33" t="s">
        <v>49</v>
      </c>
      <c r="Y3" s="34"/>
      <c r="Z3" s="33" t="s">
        <v>50</v>
      </c>
      <c r="AA3" s="34"/>
      <c r="AB3" s="33" t="s">
        <v>51</v>
      </c>
      <c r="AC3" s="31"/>
      <c r="AE3" s="26" t="s">
        <v>39</v>
      </c>
      <c r="AF3" s="36" t="s">
        <v>44</v>
      </c>
      <c r="AG3" s="38" t="s">
        <v>45</v>
      </c>
      <c r="AH3" s="40" t="s">
        <v>46</v>
      </c>
      <c r="AI3" s="33" t="s">
        <v>47</v>
      </c>
      <c r="AJ3" s="34"/>
      <c r="AK3" s="33" t="s">
        <v>48</v>
      </c>
      <c r="AL3" s="34"/>
      <c r="AM3" s="33" t="s">
        <v>49</v>
      </c>
      <c r="AN3" s="34"/>
      <c r="AO3" s="33" t="s">
        <v>50</v>
      </c>
      <c r="AP3" s="34"/>
      <c r="AQ3" s="33" t="s">
        <v>51</v>
      </c>
      <c r="AR3" s="31"/>
      <c r="AT3" s="26" t="s">
        <v>39</v>
      </c>
      <c r="AU3" s="36" t="s">
        <v>44</v>
      </c>
      <c r="AV3" s="38" t="s">
        <v>45</v>
      </c>
      <c r="AW3" s="40" t="s">
        <v>46</v>
      </c>
      <c r="AX3" s="33" t="s">
        <v>47</v>
      </c>
      <c r="AY3" s="34"/>
      <c r="AZ3" s="33" t="s">
        <v>48</v>
      </c>
      <c r="BA3" s="34"/>
      <c r="BB3" s="33" t="s">
        <v>49</v>
      </c>
      <c r="BC3" s="34"/>
      <c r="BD3" s="33" t="s">
        <v>50</v>
      </c>
      <c r="BE3" s="34"/>
      <c r="BF3" s="33" t="s">
        <v>51</v>
      </c>
      <c r="BG3" s="31"/>
    </row>
    <row r="4" spans="1:59" ht="17.25" thickBot="1" x14ac:dyDescent="0.25">
      <c r="A4" s="35"/>
      <c r="B4" s="37"/>
      <c r="C4" s="39"/>
      <c r="D4" s="41"/>
      <c r="E4" s="9" t="s">
        <v>52</v>
      </c>
      <c r="F4" s="10" t="s">
        <v>53</v>
      </c>
      <c r="G4" s="9" t="s">
        <v>52</v>
      </c>
      <c r="H4" s="10" t="s">
        <v>53</v>
      </c>
      <c r="I4" s="9" t="s">
        <v>52</v>
      </c>
      <c r="J4" s="10" t="s">
        <v>53</v>
      </c>
      <c r="K4" s="9" t="s">
        <v>52</v>
      </c>
      <c r="L4" s="10" t="s">
        <v>53</v>
      </c>
      <c r="M4" s="9" t="s">
        <v>52</v>
      </c>
      <c r="N4" s="10" t="s">
        <v>53</v>
      </c>
      <c r="P4" s="35"/>
      <c r="Q4" s="37"/>
      <c r="R4" s="39"/>
      <c r="S4" s="41"/>
      <c r="T4" s="9" t="s">
        <v>52</v>
      </c>
      <c r="U4" s="10" t="s">
        <v>53</v>
      </c>
      <c r="V4" s="9" t="s">
        <v>52</v>
      </c>
      <c r="W4" s="10" t="s">
        <v>53</v>
      </c>
      <c r="X4" s="9" t="s">
        <v>52</v>
      </c>
      <c r="Y4" s="10" t="s">
        <v>53</v>
      </c>
      <c r="Z4" s="9" t="s">
        <v>52</v>
      </c>
      <c r="AA4" s="10" t="s">
        <v>53</v>
      </c>
      <c r="AB4" s="9" t="s">
        <v>52</v>
      </c>
      <c r="AC4" s="10" t="s">
        <v>53</v>
      </c>
      <c r="AE4" s="35"/>
      <c r="AF4" s="37"/>
      <c r="AG4" s="39"/>
      <c r="AH4" s="41"/>
      <c r="AI4" s="9" t="s">
        <v>52</v>
      </c>
      <c r="AJ4" s="10" t="s">
        <v>53</v>
      </c>
      <c r="AK4" s="9" t="s">
        <v>52</v>
      </c>
      <c r="AL4" s="10" t="s">
        <v>53</v>
      </c>
      <c r="AM4" s="9" t="s">
        <v>52</v>
      </c>
      <c r="AN4" s="10" t="s">
        <v>53</v>
      </c>
      <c r="AO4" s="9" t="s">
        <v>52</v>
      </c>
      <c r="AP4" s="10" t="s">
        <v>53</v>
      </c>
      <c r="AQ4" s="9" t="s">
        <v>52</v>
      </c>
      <c r="AR4" s="10" t="s">
        <v>53</v>
      </c>
      <c r="AT4" s="35"/>
      <c r="AU4" s="37"/>
      <c r="AV4" s="39"/>
      <c r="AW4" s="41"/>
      <c r="AX4" s="9" t="s">
        <v>52</v>
      </c>
      <c r="AY4" s="10" t="s">
        <v>53</v>
      </c>
      <c r="AZ4" s="9" t="s">
        <v>52</v>
      </c>
      <c r="BA4" s="10" t="s">
        <v>53</v>
      </c>
      <c r="BB4" s="9" t="s">
        <v>52</v>
      </c>
      <c r="BC4" s="10" t="s">
        <v>53</v>
      </c>
      <c r="BD4" s="9" t="s">
        <v>52</v>
      </c>
      <c r="BE4" s="10" t="s">
        <v>53</v>
      </c>
      <c r="BF4" s="9" t="s">
        <v>52</v>
      </c>
      <c r="BG4" s="10" t="s">
        <v>53</v>
      </c>
    </row>
    <row r="5" spans="1:59" x14ac:dyDescent="0.2">
      <c r="A5" s="6" t="s">
        <v>0</v>
      </c>
      <c r="B5" s="16">
        <f t="shared" ref="B5:B43" si="0">C5+D5</f>
        <v>32</v>
      </c>
      <c r="C5" s="17">
        <v>18</v>
      </c>
      <c r="D5" s="18">
        <v>14</v>
      </c>
      <c r="E5" s="17"/>
      <c r="F5" s="18" t="s">
        <v>54</v>
      </c>
      <c r="G5" s="17"/>
      <c r="H5" s="18" t="s">
        <v>54</v>
      </c>
      <c r="I5" s="17"/>
      <c r="J5" s="18"/>
      <c r="K5" s="17" t="s">
        <v>54</v>
      </c>
      <c r="L5" s="18"/>
      <c r="M5" s="17"/>
      <c r="N5" s="18" t="s">
        <v>54</v>
      </c>
      <c r="P5" s="6" t="str">
        <f>A5</f>
        <v>10A1</v>
      </c>
      <c r="Q5" s="16">
        <f t="shared" ref="Q5:S43" si="1">B5</f>
        <v>32</v>
      </c>
      <c r="R5" s="17">
        <f t="shared" si="1"/>
        <v>18</v>
      </c>
      <c r="S5" s="18">
        <f t="shared" si="1"/>
        <v>14</v>
      </c>
      <c r="T5" s="17"/>
      <c r="U5" s="18" t="s">
        <v>54</v>
      </c>
      <c r="V5" s="17"/>
      <c r="W5" s="18" t="s">
        <v>54</v>
      </c>
      <c r="X5" s="17"/>
      <c r="Y5" s="18"/>
      <c r="Z5" s="17"/>
      <c r="AA5" s="18"/>
      <c r="AB5" s="17"/>
      <c r="AC5" s="18" t="s">
        <v>54</v>
      </c>
      <c r="AE5" s="6" t="str">
        <f>P5</f>
        <v>10A1</v>
      </c>
      <c r="AF5" s="16">
        <f t="shared" ref="AF5:AH43" si="2">Q5</f>
        <v>32</v>
      </c>
      <c r="AG5" s="17">
        <f t="shared" si="2"/>
        <v>18</v>
      </c>
      <c r="AH5" s="18">
        <f t="shared" si="2"/>
        <v>14</v>
      </c>
      <c r="AI5" s="17"/>
      <c r="AJ5" s="18" t="s">
        <v>54</v>
      </c>
      <c r="AK5" s="17"/>
      <c r="AL5" s="18" t="s">
        <v>54</v>
      </c>
      <c r="AM5" s="17" t="s">
        <v>54</v>
      </c>
      <c r="AN5" s="18"/>
      <c r="AO5" s="17"/>
      <c r="AP5" s="18"/>
      <c r="AQ5" s="17"/>
      <c r="AR5" s="18" t="s">
        <v>54</v>
      </c>
      <c r="AT5" s="6" t="str">
        <f>AE5</f>
        <v>10A1</v>
      </c>
      <c r="AU5" s="16">
        <f t="shared" ref="AU5:AW43" si="3">AF5</f>
        <v>32</v>
      </c>
      <c r="AV5" s="17">
        <f t="shared" si="3"/>
        <v>18</v>
      </c>
      <c r="AW5" s="18">
        <f t="shared" si="3"/>
        <v>14</v>
      </c>
      <c r="AX5" s="17"/>
      <c r="AY5" s="18" t="s">
        <v>54</v>
      </c>
      <c r="AZ5" s="17"/>
      <c r="BA5" s="18" t="s">
        <v>54</v>
      </c>
      <c r="BB5" s="17"/>
      <c r="BC5" s="18"/>
      <c r="BD5" s="17"/>
      <c r="BE5" s="18"/>
      <c r="BF5" s="17"/>
      <c r="BG5" s="18" t="s">
        <v>54</v>
      </c>
    </row>
    <row r="6" spans="1:59" x14ac:dyDescent="0.2">
      <c r="A6" s="7" t="s">
        <v>23</v>
      </c>
      <c r="B6" s="19">
        <f t="shared" si="0"/>
        <v>28</v>
      </c>
      <c r="C6" s="20">
        <v>20</v>
      </c>
      <c r="D6" s="21">
        <v>8</v>
      </c>
      <c r="E6" s="20" t="s">
        <v>54</v>
      </c>
      <c r="F6" s="21"/>
      <c r="G6" s="20"/>
      <c r="H6" s="21" t="s">
        <v>54</v>
      </c>
      <c r="I6" s="20"/>
      <c r="J6" s="21"/>
      <c r="K6" s="20"/>
      <c r="L6" s="21"/>
      <c r="M6" s="20"/>
      <c r="N6" s="21" t="s">
        <v>54</v>
      </c>
      <c r="P6" s="7" t="str">
        <f t="shared" ref="P6:P43" si="4">A6</f>
        <v>10A2</v>
      </c>
      <c r="Q6" s="19">
        <f t="shared" si="1"/>
        <v>28</v>
      </c>
      <c r="R6" s="20">
        <f t="shared" si="1"/>
        <v>20</v>
      </c>
      <c r="S6" s="21">
        <f t="shared" si="1"/>
        <v>8</v>
      </c>
      <c r="T6" s="20" t="s">
        <v>54</v>
      </c>
      <c r="U6" s="21"/>
      <c r="V6" s="20"/>
      <c r="W6" s="21" t="s">
        <v>54</v>
      </c>
      <c r="X6" s="20"/>
      <c r="Y6" s="21"/>
      <c r="Z6" s="20"/>
      <c r="AA6" s="21"/>
      <c r="AB6" s="20"/>
      <c r="AC6" s="21" t="s">
        <v>54</v>
      </c>
      <c r="AE6" s="7" t="str">
        <f t="shared" ref="AE6:AE43" si="5">P6</f>
        <v>10A2</v>
      </c>
      <c r="AF6" s="19">
        <f t="shared" si="2"/>
        <v>28</v>
      </c>
      <c r="AG6" s="20">
        <f t="shared" si="2"/>
        <v>20</v>
      </c>
      <c r="AH6" s="21">
        <f t="shared" si="2"/>
        <v>8</v>
      </c>
      <c r="AI6" s="20" t="s">
        <v>54</v>
      </c>
      <c r="AJ6" s="21"/>
      <c r="AK6" s="20"/>
      <c r="AL6" s="21" t="s">
        <v>54</v>
      </c>
      <c r="AM6" s="20" t="s">
        <v>54</v>
      </c>
      <c r="AN6" s="21"/>
      <c r="AO6" s="20"/>
      <c r="AP6" s="21"/>
      <c r="AQ6" s="20"/>
      <c r="AR6" s="21" t="s">
        <v>54</v>
      </c>
      <c r="AT6" s="7" t="str">
        <f t="shared" ref="AT6:AT43" si="6">AE6</f>
        <v>10A2</v>
      </c>
      <c r="AU6" s="19">
        <f t="shared" si="3"/>
        <v>28</v>
      </c>
      <c r="AV6" s="20">
        <f t="shared" si="3"/>
        <v>20</v>
      </c>
      <c r="AW6" s="21">
        <f t="shared" si="3"/>
        <v>8</v>
      </c>
      <c r="AX6" s="20" t="s">
        <v>54</v>
      </c>
      <c r="AY6" s="21"/>
      <c r="AZ6" s="20"/>
      <c r="BA6" s="21" t="s">
        <v>54</v>
      </c>
      <c r="BB6" s="20" t="s">
        <v>54</v>
      </c>
      <c r="BC6" s="21"/>
      <c r="BD6" s="20"/>
      <c r="BE6" s="21"/>
      <c r="BF6" s="20"/>
      <c r="BG6" s="21" t="s">
        <v>54</v>
      </c>
    </row>
    <row r="7" spans="1:59" x14ac:dyDescent="0.2">
      <c r="A7" s="7" t="s">
        <v>7</v>
      </c>
      <c r="B7" s="19">
        <f t="shared" si="0"/>
        <v>29</v>
      </c>
      <c r="C7" s="20">
        <v>20</v>
      </c>
      <c r="D7" s="21">
        <v>9</v>
      </c>
      <c r="E7" s="20"/>
      <c r="F7" s="21"/>
      <c r="G7" s="20" t="s">
        <v>54</v>
      </c>
      <c r="H7" s="21"/>
      <c r="I7" s="20"/>
      <c r="J7" s="21"/>
      <c r="K7" s="20"/>
      <c r="L7" s="21" t="s">
        <v>54</v>
      </c>
      <c r="M7" s="20"/>
      <c r="N7" s="21" t="s">
        <v>54</v>
      </c>
      <c r="P7" s="7" t="str">
        <f t="shared" si="4"/>
        <v>10A3</v>
      </c>
      <c r="Q7" s="19">
        <f t="shared" si="1"/>
        <v>29</v>
      </c>
      <c r="R7" s="20">
        <f t="shared" si="1"/>
        <v>20</v>
      </c>
      <c r="S7" s="21">
        <f t="shared" si="1"/>
        <v>9</v>
      </c>
      <c r="T7" s="20"/>
      <c r="U7" s="21"/>
      <c r="V7" s="20" t="s">
        <v>54</v>
      </c>
      <c r="W7" s="21"/>
      <c r="X7" s="20" t="s">
        <v>54</v>
      </c>
      <c r="Y7" s="21"/>
      <c r="Z7" s="20"/>
      <c r="AA7" s="21" t="s">
        <v>54</v>
      </c>
      <c r="AB7" s="20"/>
      <c r="AC7" s="21" t="s">
        <v>54</v>
      </c>
      <c r="AE7" s="7" t="str">
        <f t="shared" si="5"/>
        <v>10A3</v>
      </c>
      <c r="AF7" s="19">
        <f t="shared" si="2"/>
        <v>29</v>
      </c>
      <c r="AG7" s="20">
        <f t="shared" si="2"/>
        <v>20</v>
      </c>
      <c r="AH7" s="21">
        <f t="shared" si="2"/>
        <v>9</v>
      </c>
      <c r="AI7" s="20"/>
      <c r="AJ7" s="21"/>
      <c r="AK7" s="20" t="s">
        <v>54</v>
      </c>
      <c r="AL7" s="21"/>
      <c r="AM7" s="20"/>
      <c r="AN7" s="21"/>
      <c r="AO7" s="20"/>
      <c r="AP7" s="21" t="s">
        <v>54</v>
      </c>
      <c r="AQ7" s="20"/>
      <c r="AR7" s="21" t="s">
        <v>54</v>
      </c>
      <c r="AT7" s="7" t="str">
        <f t="shared" si="6"/>
        <v>10A3</v>
      </c>
      <c r="AU7" s="19">
        <f t="shared" si="3"/>
        <v>29</v>
      </c>
      <c r="AV7" s="20">
        <f t="shared" si="3"/>
        <v>20</v>
      </c>
      <c r="AW7" s="21">
        <f t="shared" si="3"/>
        <v>9</v>
      </c>
      <c r="AX7" s="20"/>
      <c r="AY7" s="21"/>
      <c r="AZ7" s="20" t="s">
        <v>54</v>
      </c>
      <c r="BA7" s="21"/>
      <c r="BB7" s="20" t="s">
        <v>54</v>
      </c>
      <c r="BC7" s="21"/>
      <c r="BD7" s="20"/>
      <c r="BE7" s="21" t="s">
        <v>54</v>
      </c>
      <c r="BF7" s="20"/>
      <c r="BG7" s="21" t="s">
        <v>54</v>
      </c>
    </row>
    <row r="8" spans="1:59" x14ac:dyDescent="0.2">
      <c r="A8" s="7" t="s">
        <v>34</v>
      </c>
      <c r="B8" s="19">
        <f t="shared" si="0"/>
        <v>28</v>
      </c>
      <c r="C8" s="20">
        <v>9</v>
      </c>
      <c r="D8" s="21">
        <v>19</v>
      </c>
      <c r="E8" s="20"/>
      <c r="F8" s="21"/>
      <c r="G8" s="20"/>
      <c r="H8" s="21"/>
      <c r="I8" s="20"/>
      <c r="J8" s="21"/>
      <c r="K8" s="20" t="s">
        <v>54</v>
      </c>
      <c r="L8" s="21"/>
      <c r="M8" s="20" t="s">
        <v>54</v>
      </c>
      <c r="N8" s="21"/>
      <c r="P8" s="7" t="str">
        <f t="shared" si="4"/>
        <v>10A4</v>
      </c>
      <c r="Q8" s="19">
        <f t="shared" si="1"/>
        <v>28</v>
      </c>
      <c r="R8" s="20">
        <f t="shared" si="1"/>
        <v>9</v>
      </c>
      <c r="S8" s="21">
        <f t="shared" si="1"/>
        <v>19</v>
      </c>
      <c r="T8" s="20" t="s">
        <v>54</v>
      </c>
      <c r="U8" s="21"/>
      <c r="V8" s="20"/>
      <c r="W8" s="21"/>
      <c r="X8" s="20" t="s">
        <v>54</v>
      </c>
      <c r="Y8" s="21"/>
      <c r="Z8" s="20" t="s">
        <v>54</v>
      </c>
      <c r="AA8" s="21"/>
      <c r="AB8" s="20" t="s">
        <v>54</v>
      </c>
      <c r="AC8" s="21"/>
      <c r="AE8" s="7" t="str">
        <f t="shared" si="5"/>
        <v>10A4</v>
      </c>
      <c r="AF8" s="19">
        <f t="shared" si="2"/>
        <v>28</v>
      </c>
      <c r="AG8" s="20">
        <f t="shared" si="2"/>
        <v>9</v>
      </c>
      <c r="AH8" s="21">
        <f t="shared" si="2"/>
        <v>19</v>
      </c>
      <c r="AI8" s="20"/>
      <c r="AJ8" s="21"/>
      <c r="AK8" s="20"/>
      <c r="AL8" s="21"/>
      <c r="AM8" s="20"/>
      <c r="AN8" s="21"/>
      <c r="AO8" s="20" t="s">
        <v>54</v>
      </c>
      <c r="AP8" s="21"/>
      <c r="AQ8" s="20" t="s">
        <v>54</v>
      </c>
      <c r="AR8" s="21"/>
      <c r="AT8" s="7" t="str">
        <f t="shared" si="6"/>
        <v>10A4</v>
      </c>
      <c r="AU8" s="19">
        <f t="shared" si="3"/>
        <v>28</v>
      </c>
      <c r="AV8" s="20">
        <f t="shared" si="3"/>
        <v>9</v>
      </c>
      <c r="AW8" s="21">
        <f t="shared" si="3"/>
        <v>19</v>
      </c>
      <c r="AX8" s="20"/>
      <c r="AY8" s="21"/>
      <c r="AZ8" s="20"/>
      <c r="BA8" s="21"/>
      <c r="BB8" s="20"/>
      <c r="BC8" s="21"/>
      <c r="BD8" s="20" t="s">
        <v>54</v>
      </c>
      <c r="BE8" s="21"/>
      <c r="BF8" s="20" t="s">
        <v>54</v>
      </c>
      <c r="BG8" s="21"/>
    </row>
    <row r="9" spans="1:59" x14ac:dyDescent="0.2">
      <c r="A9" s="7" t="s">
        <v>1</v>
      </c>
      <c r="B9" s="19">
        <f t="shared" si="0"/>
        <v>29</v>
      </c>
      <c r="C9" s="20">
        <v>11</v>
      </c>
      <c r="D9" s="21">
        <v>18</v>
      </c>
      <c r="E9" s="20"/>
      <c r="F9" s="21"/>
      <c r="G9" s="20" t="s">
        <v>54</v>
      </c>
      <c r="H9" s="21"/>
      <c r="I9" s="20" t="s">
        <v>54</v>
      </c>
      <c r="J9" s="21"/>
      <c r="K9" s="20" t="s">
        <v>54</v>
      </c>
      <c r="L9" s="21"/>
      <c r="M9" s="20"/>
      <c r="N9" s="21"/>
      <c r="P9" s="7" t="str">
        <f t="shared" si="4"/>
        <v>10A5</v>
      </c>
      <c r="Q9" s="19">
        <f t="shared" si="1"/>
        <v>29</v>
      </c>
      <c r="R9" s="20">
        <f t="shared" si="1"/>
        <v>11</v>
      </c>
      <c r="S9" s="21">
        <f t="shared" si="1"/>
        <v>18</v>
      </c>
      <c r="T9" s="20"/>
      <c r="U9" s="21"/>
      <c r="V9" s="20" t="s">
        <v>54</v>
      </c>
      <c r="W9" s="21"/>
      <c r="X9" s="20"/>
      <c r="Y9" s="21"/>
      <c r="Z9" s="20" t="s">
        <v>54</v>
      </c>
      <c r="AA9" s="21"/>
      <c r="AB9" s="20"/>
      <c r="AC9" s="21"/>
      <c r="AE9" s="7" t="str">
        <f t="shared" si="5"/>
        <v>10A5</v>
      </c>
      <c r="AF9" s="19">
        <f t="shared" si="2"/>
        <v>29</v>
      </c>
      <c r="AG9" s="20">
        <f t="shared" si="2"/>
        <v>11</v>
      </c>
      <c r="AH9" s="21">
        <f t="shared" si="2"/>
        <v>18</v>
      </c>
      <c r="AI9" s="20"/>
      <c r="AJ9" s="21"/>
      <c r="AK9" s="20" t="s">
        <v>54</v>
      </c>
      <c r="AL9" s="21"/>
      <c r="AM9" s="20" t="s">
        <v>54</v>
      </c>
      <c r="AN9" s="21"/>
      <c r="AO9" s="20" t="s">
        <v>54</v>
      </c>
      <c r="AP9" s="21"/>
      <c r="AQ9" s="20"/>
      <c r="AR9" s="21"/>
      <c r="AT9" s="7" t="str">
        <f t="shared" si="6"/>
        <v>10A5</v>
      </c>
      <c r="AU9" s="19">
        <f t="shared" si="3"/>
        <v>29</v>
      </c>
      <c r="AV9" s="20">
        <f t="shared" si="3"/>
        <v>11</v>
      </c>
      <c r="AW9" s="21">
        <f t="shared" si="3"/>
        <v>18</v>
      </c>
      <c r="AX9" s="20"/>
      <c r="AY9" s="21"/>
      <c r="AZ9" s="20" t="s">
        <v>54</v>
      </c>
      <c r="BA9" s="21"/>
      <c r="BB9" s="20"/>
      <c r="BC9" s="21"/>
      <c r="BD9" s="20" t="s">
        <v>54</v>
      </c>
      <c r="BE9" s="21"/>
      <c r="BF9" s="20"/>
      <c r="BG9" s="21"/>
    </row>
    <row r="10" spans="1:59" x14ac:dyDescent="0.2">
      <c r="A10" s="7" t="s">
        <v>33</v>
      </c>
      <c r="B10" s="19">
        <f t="shared" si="0"/>
        <v>26</v>
      </c>
      <c r="C10" s="20">
        <v>16</v>
      </c>
      <c r="D10" s="21">
        <v>10</v>
      </c>
      <c r="E10" s="20"/>
      <c r="F10" s="21" t="s">
        <v>54</v>
      </c>
      <c r="G10" s="20"/>
      <c r="H10" s="21" t="s">
        <v>54</v>
      </c>
      <c r="I10" s="20" t="s">
        <v>54</v>
      </c>
      <c r="J10" s="21"/>
      <c r="K10" s="20"/>
      <c r="L10" s="21" t="s">
        <v>54</v>
      </c>
      <c r="M10" s="20"/>
      <c r="N10" s="21" t="s">
        <v>54</v>
      </c>
      <c r="P10" s="7" t="str">
        <f t="shared" si="4"/>
        <v>10A6</v>
      </c>
      <c r="Q10" s="19">
        <f t="shared" si="1"/>
        <v>26</v>
      </c>
      <c r="R10" s="20">
        <f t="shared" si="1"/>
        <v>16</v>
      </c>
      <c r="S10" s="21">
        <f t="shared" si="1"/>
        <v>10</v>
      </c>
      <c r="T10" s="20"/>
      <c r="U10" s="21" t="s">
        <v>54</v>
      </c>
      <c r="V10" s="20"/>
      <c r="W10" s="21" t="s">
        <v>54</v>
      </c>
      <c r="X10" s="20"/>
      <c r="Y10" s="21"/>
      <c r="Z10" s="20"/>
      <c r="AA10" s="21" t="s">
        <v>54</v>
      </c>
      <c r="AB10" s="20"/>
      <c r="AC10" s="21" t="s">
        <v>54</v>
      </c>
      <c r="AE10" s="7" t="str">
        <f t="shared" si="5"/>
        <v>10A6</v>
      </c>
      <c r="AF10" s="19">
        <f t="shared" si="2"/>
        <v>26</v>
      </c>
      <c r="AG10" s="20">
        <f t="shared" si="2"/>
        <v>16</v>
      </c>
      <c r="AH10" s="21">
        <f t="shared" si="2"/>
        <v>10</v>
      </c>
      <c r="AI10" s="20"/>
      <c r="AJ10" s="21" t="s">
        <v>54</v>
      </c>
      <c r="AK10" s="20"/>
      <c r="AL10" s="21" t="s">
        <v>54</v>
      </c>
      <c r="AM10" s="20"/>
      <c r="AN10" s="21"/>
      <c r="AO10" s="20"/>
      <c r="AP10" s="21" t="s">
        <v>54</v>
      </c>
      <c r="AQ10" s="20"/>
      <c r="AR10" s="21" t="s">
        <v>54</v>
      </c>
      <c r="AT10" s="7" t="str">
        <f t="shared" si="6"/>
        <v>10A6</v>
      </c>
      <c r="AU10" s="19">
        <f t="shared" si="3"/>
        <v>26</v>
      </c>
      <c r="AV10" s="20">
        <f t="shared" si="3"/>
        <v>16</v>
      </c>
      <c r="AW10" s="21">
        <f t="shared" si="3"/>
        <v>10</v>
      </c>
      <c r="AX10" s="20"/>
      <c r="AY10" s="21" t="s">
        <v>54</v>
      </c>
      <c r="AZ10" s="20"/>
      <c r="BA10" s="21" t="s">
        <v>54</v>
      </c>
      <c r="BB10" s="20" t="s">
        <v>54</v>
      </c>
      <c r="BC10" s="21"/>
      <c r="BD10" s="20"/>
      <c r="BE10" s="21" t="s">
        <v>54</v>
      </c>
      <c r="BF10" s="20"/>
      <c r="BG10" s="21" t="s">
        <v>54</v>
      </c>
    </row>
    <row r="11" spans="1:59" x14ac:dyDescent="0.2">
      <c r="A11" s="7" t="s">
        <v>36</v>
      </c>
      <c r="B11" s="19">
        <f t="shared" si="0"/>
        <v>25</v>
      </c>
      <c r="C11" s="20">
        <v>14</v>
      </c>
      <c r="D11" s="21">
        <v>11</v>
      </c>
      <c r="E11" s="20" t="s">
        <v>54</v>
      </c>
      <c r="F11" s="21"/>
      <c r="G11" s="20" t="s">
        <v>54</v>
      </c>
      <c r="H11" s="21"/>
      <c r="I11" s="20"/>
      <c r="J11" s="21"/>
      <c r="K11" s="20" t="s">
        <v>54</v>
      </c>
      <c r="L11" s="21"/>
      <c r="M11" s="20"/>
      <c r="N11" s="21" t="s">
        <v>54</v>
      </c>
      <c r="P11" s="7" t="str">
        <f t="shared" si="4"/>
        <v>10A7</v>
      </c>
      <c r="Q11" s="19">
        <f t="shared" si="1"/>
        <v>25</v>
      </c>
      <c r="R11" s="20">
        <f t="shared" si="1"/>
        <v>14</v>
      </c>
      <c r="S11" s="21">
        <f t="shared" si="1"/>
        <v>11</v>
      </c>
      <c r="T11" s="20" t="s">
        <v>54</v>
      </c>
      <c r="U11" s="21"/>
      <c r="V11" s="20" t="s">
        <v>54</v>
      </c>
      <c r="W11" s="21"/>
      <c r="X11" s="20" t="s">
        <v>54</v>
      </c>
      <c r="Y11" s="21"/>
      <c r="Z11" s="20" t="s">
        <v>54</v>
      </c>
      <c r="AA11" s="21"/>
      <c r="AB11" s="20"/>
      <c r="AC11" s="21" t="s">
        <v>54</v>
      </c>
      <c r="AE11" s="7" t="str">
        <f t="shared" si="5"/>
        <v>10A7</v>
      </c>
      <c r="AF11" s="19">
        <f t="shared" si="2"/>
        <v>25</v>
      </c>
      <c r="AG11" s="20">
        <f t="shared" si="2"/>
        <v>14</v>
      </c>
      <c r="AH11" s="21">
        <f t="shared" si="2"/>
        <v>11</v>
      </c>
      <c r="AI11" s="20" t="s">
        <v>54</v>
      </c>
      <c r="AJ11" s="21"/>
      <c r="AK11" s="20" t="s">
        <v>54</v>
      </c>
      <c r="AL11" s="21"/>
      <c r="AM11" s="20" t="s">
        <v>54</v>
      </c>
      <c r="AN11" s="21"/>
      <c r="AO11" s="20" t="s">
        <v>54</v>
      </c>
      <c r="AP11" s="21"/>
      <c r="AQ11" s="20"/>
      <c r="AR11" s="21" t="s">
        <v>54</v>
      </c>
      <c r="AT11" s="7" t="str">
        <f t="shared" si="6"/>
        <v>10A7</v>
      </c>
      <c r="AU11" s="19">
        <f t="shared" si="3"/>
        <v>25</v>
      </c>
      <c r="AV11" s="20">
        <f t="shared" si="3"/>
        <v>14</v>
      </c>
      <c r="AW11" s="21">
        <f t="shared" si="3"/>
        <v>11</v>
      </c>
      <c r="AX11" s="20" t="s">
        <v>54</v>
      </c>
      <c r="AY11" s="21"/>
      <c r="AZ11" s="20" t="s">
        <v>54</v>
      </c>
      <c r="BA11" s="21"/>
      <c r="BB11" s="20"/>
      <c r="BC11" s="21"/>
      <c r="BD11" s="20" t="s">
        <v>54</v>
      </c>
      <c r="BE11" s="21"/>
      <c r="BF11" s="20"/>
      <c r="BG11" s="21" t="s">
        <v>54</v>
      </c>
    </row>
    <row r="12" spans="1:59" x14ac:dyDescent="0.2">
      <c r="A12" s="7" t="s">
        <v>38</v>
      </c>
      <c r="B12" s="19">
        <f t="shared" si="0"/>
        <v>34</v>
      </c>
      <c r="C12" s="20">
        <v>22</v>
      </c>
      <c r="D12" s="21">
        <v>12</v>
      </c>
      <c r="E12" s="20"/>
      <c r="F12" s="21" t="s">
        <v>54</v>
      </c>
      <c r="G12" s="20"/>
      <c r="H12" s="21"/>
      <c r="I12" s="20"/>
      <c r="J12" s="21"/>
      <c r="K12" s="20"/>
      <c r="L12" s="21" t="s">
        <v>54</v>
      </c>
      <c r="M12" s="20" t="s">
        <v>54</v>
      </c>
      <c r="N12" s="21"/>
      <c r="P12" s="7" t="str">
        <f t="shared" si="4"/>
        <v>10A8</v>
      </c>
      <c r="Q12" s="19">
        <f t="shared" si="1"/>
        <v>34</v>
      </c>
      <c r="R12" s="20">
        <f t="shared" si="1"/>
        <v>22</v>
      </c>
      <c r="S12" s="21">
        <f t="shared" si="1"/>
        <v>12</v>
      </c>
      <c r="T12" s="20"/>
      <c r="U12" s="21"/>
      <c r="V12" s="20"/>
      <c r="W12" s="21"/>
      <c r="X12" s="20" t="s">
        <v>54</v>
      </c>
      <c r="Y12" s="21"/>
      <c r="Z12" s="20"/>
      <c r="AA12" s="21" t="s">
        <v>54</v>
      </c>
      <c r="AB12" s="20" t="s">
        <v>54</v>
      </c>
      <c r="AC12" s="21"/>
      <c r="AE12" s="7" t="str">
        <f t="shared" si="5"/>
        <v>10A8</v>
      </c>
      <c r="AF12" s="19">
        <f t="shared" si="2"/>
        <v>34</v>
      </c>
      <c r="AG12" s="20">
        <f t="shared" si="2"/>
        <v>22</v>
      </c>
      <c r="AH12" s="21">
        <f t="shared" si="2"/>
        <v>12</v>
      </c>
      <c r="AI12" s="20"/>
      <c r="AJ12" s="21"/>
      <c r="AK12" s="20"/>
      <c r="AL12" s="21"/>
      <c r="AM12" s="20"/>
      <c r="AN12" s="21"/>
      <c r="AO12" s="20"/>
      <c r="AP12" s="21" t="s">
        <v>54</v>
      </c>
      <c r="AQ12" s="20" t="s">
        <v>54</v>
      </c>
      <c r="AR12" s="21"/>
      <c r="AT12" s="7" t="str">
        <f t="shared" si="6"/>
        <v>10A8</v>
      </c>
      <c r="AU12" s="19">
        <f t="shared" si="3"/>
        <v>34</v>
      </c>
      <c r="AV12" s="20">
        <f t="shared" si="3"/>
        <v>22</v>
      </c>
      <c r="AW12" s="21">
        <f t="shared" si="3"/>
        <v>12</v>
      </c>
      <c r="AX12" s="20"/>
      <c r="AY12" s="21"/>
      <c r="AZ12" s="20"/>
      <c r="BA12" s="21"/>
      <c r="BB12" s="20"/>
      <c r="BC12" s="21"/>
      <c r="BD12" s="20"/>
      <c r="BE12" s="21" t="s">
        <v>54</v>
      </c>
      <c r="BF12" s="20" t="s">
        <v>54</v>
      </c>
      <c r="BG12" s="21"/>
    </row>
    <row r="13" spans="1:59" x14ac:dyDescent="0.2">
      <c r="A13" s="7" t="s">
        <v>21</v>
      </c>
      <c r="B13" s="19">
        <f t="shared" si="0"/>
        <v>25</v>
      </c>
      <c r="C13" s="20">
        <v>11</v>
      </c>
      <c r="D13" s="21">
        <v>14</v>
      </c>
      <c r="E13" s="20"/>
      <c r="F13" s="21"/>
      <c r="G13" s="20"/>
      <c r="H13" s="21" t="s">
        <v>54</v>
      </c>
      <c r="I13" s="20"/>
      <c r="J13" s="21"/>
      <c r="K13" s="20"/>
      <c r="L13" s="21" t="s">
        <v>54</v>
      </c>
      <c r="M13" s="20"/>
      <c r="N13" s="21" t="s">
        <v>54</v>
      </c>
      <c r="P13" s="7" t="str">
        <f t="shared" si="4"/>
        <v>10A9</v>
      </c>
      <c r="Q13" s="19">
        <f t="shared" si="1"/>
        <v>25</v>
      </c>
      <c r="R13" s="20">
        <f t="shared" si="1"/>
        <v>11</v>
      </c>
      <c r="S13" s="21">
        <f t="shared" si="1"/>
        <v>14</v>
      </c>
      <c r="T13" s="20"/>
      <c r="U13" s="21"/>
      <c r="V13" s="20"/>
      <c r="W13" s="21" t="s">
        <v>54</v>
      </c>
      <c r="X13" s="20"/>
      <c r="Y13" s="21"/>
      <c r="Z13" s="20"/>
      <c r="AA13" s="21"/>
      <c r="AB13" s="20"/>
      <c r="AC13" s="21" t="s">
        <v>54</v>
      </c>
      <c r="AE13" s="7" t="str">
        <f t="shared" si="5"/>
        <v>10A9</v>
      </c>
      <c r="AF13" s="19">
        <f t="shared" si="2"/>
        <v>25</v>
      </c>
      <c r="AG13" s="20">
        <f t="shared" si="2"/>
        <v>11</v>
      </c>
      <c r="AH13" s="21">
        <f t="shared" si="2"/>
        <v>14</v>
      </c>
      <c r="AI13" s="20"/>
      <c r="AJ13" s="21"/>
      <c r="AK13" s="20"/>
      <c r="AL13" s="21" t="s">
        <v>54</v>
      </c>
      <c r="AM13" s="20"/>
      <c r="AN13" s="21"/>
      <c r="AO13" s="20"/>
      <c r="AP13" s="21"/>
      <c r="AQ13" s="20"/>
      <c r="AR13" s="21" t="s">
        <v>54</v>
      </c>
      <c r="AT13" s="7" t="str">
        <f t="shared" si="6"/>
        <v>10A9</v>
      </c>
      <c r="AU13" s="19">
        <f t="shared" si="3"/>
        <v>25</v>
      </c>
      <c r="AV13" s="20">
        <f t="shared" si="3"/>
        <v>11</v>
      </c>
      <c r="AW13" s="21">
        <f t="shared" si="3"/>
        <v>14</v>
      </c>
      <c r="AX13" s="20"/>
      <c r="AY13" s="21"/>
      <c r="AZ13" s="20"/>
      <c r="BA13" s="21" t="s">
        <v>54</v>
      </c>
      <c r="BB13" s="20" t="s">
        <v>54</v>
      </c>
      <c r="BC13" s="21"/>
      <c r="BD13" s="20"/>
      <c r="BE13" s="21"/>
      <c r="BF13" s="20"/>
      <c r="BG13" s="21" t="s">
        <v>54</v>
      </c>
    </row>
    <row r="14" spans="1:59" x14ac:dyDescent="0.2">
      <c r="A14" s="7" t="s">
        <v>32</v>
      </c>
      <c r="B14" s="19">
        <f t="shared" si="0"/>
        <v>23</v>
      </c>
      <c r="C14" s="20">
        <v>5</v>
      </c>
      <c r="D14" s="21">
        <v>18</v>
      </c>
      <c r="E14" s="20" t="s">
        <v>54</v>
      </c>
      <c r="F14" s="21"/>
      <c r="G14" s="20"/>
      <c r="H14" s="21" t="s">
        <v>54</v>
      </c>
      <c r="I14" s="20"/>
      <c r="J14" s="21"/>
      <c r="K14" s="20"/>
      <c r="L14" s="21"/>
      <c r="M14" s="20"/>
      <c r="N14" s="21" t="s">
        <v>54</v>
      </c>
      <c r="P14" s="7" t="str">
        <f t="shared" si="4"/>
        <v>10A10</v>
      </c>
      <c r="Q14" s="19">
        <f t="shared" si="1"/>
        <v>23</v>
      </c>
      <c r="R14" s="20">
        <f t="shared" si="1"/>
        <v>5</v>
      </c>
      <c r="S14" s="21">
        <f t="shared" si="1"/>
        <v>18</v>
      </c>
      <c r="T14" s="20" t="s">
        <v>54</v>
      </c>
      <c r="U14" s="21"/>
      <c r="V14" s="20"/>
      <c r="W14" s="21" t="s">
        <v>54</v>
      </c>
      <c r="X14" s="20"/>
      <c r="Y14" s="21"/>
      <c r="Z14" s="20"/>
      <c r="AA14" s="21"/>
      <c r="AB14" s="20"/>
      <c r="AC14" s="21" t="s">
        <v>54</v>
      </c>
      <c r="AE14" s="7" t="str">
        <f t="shared" si="5"/>
        <v>10A10</v>
      </c>
      <c r="AF14" s="19">
        <f t="shared" si="2"/>
        <v>23</v>
      </c>
      <c r="AG14" s="20">
        <f t="shared" si="2"/>
        <v>5</v>
      </c>
      <c r="AH14" s="21">
        <f t="shared" si="2"/>
        <v>18</v>
      </c>
      <c r="AI14" s="20" t="s">
        <v>54</v>
      </c>
      <c r="AJ14" s="21"/>
      <c r="AK14" s="20"/>
      <c r="AL14" s="21" t="s">
        <v>54</v>
      </c>
      <c r="AM14" s="20"/>
      <c r="AN14" s="21"/>
      <c r="AO14" s="20" t="s">
        <v>54</v>
      </c>
      <c r="AP14" s="21"/>
      <c r="AQ14" s="20"/>
      <c r="AR14" s="21" t="s">
        <v>54</v>
      </c>
      <c r="AT14" s="7" t="str">
        <f t="shared" si="6"/>
        <v>10A10</v>
      </c>
      <c r="AU14" s="19">
        <f t="shared" si="3"/>
        <v>23</v>
      </c>
      <c r="AV14" s="20">
        <f t="shared" si="3"/>
        <v>5</v>
      </c>
      <c r="AW14" s="21">
        <f t="shared" si="3"/>
        <v>18</v>
      </c>
      <c r="AX14" s="20" t="s">
        <v>54</v>
      </c>
      <c r="AY14" s="21"/>
      <c r="AZ14" s="20"/>
      <c r="BA14" s="21" t="s">
        <v>54</v>
      </c>
      <c r="BB14" s="20"/>
      <c r="BC14" s="21"/>
      <c r="BD14" s="20" t="s">
        <v>54</v>
      </c>
      <c r="BE14" s="21"/>
      <c r="BF14" s="20"/>
      <c r="BG14" s="21" t="s">
        <v>54</v>
      </c>
    </row>
    <row r="15" spans="1:59" x14ac:dyDescent="0.2">
      <c r="A15" s="7" t="s">
        <v>31</v>
      </c>
      <c r="B15" s="19">
        <f t="shared" si="0"/>
        <v>28</v>
      </c>
      <c r="C15" s="20">
        <v>6</v>
      </c>
      <c r="D15" s="21">
        <v>22</v>
      </c>
      <c r="E15" s="20"/>
      <c r="F15" s="21" t="s">
        <v>54</v>
      </c>
      <c r="G15" s="20"/>
      <c r="H15" s="21"/>
      <c r="I15" s="20" t="s">
        <v>54</v>
      </c>
      <c r="J15" s="21"/>
      <c r="K15" s="20"/>
      <c r="L15" s="21"/>
      <c r="M15" s="20"/>
      <c r="N15" s="21" t="s">
        <v>54</v>
      </c>
      <c r="P15" s="7" t="str">
        <f t="shared" si="4"/>
        <v>10A11</v>
      </c>
      <c r="Q15" s="19">
        <f t="shared" si="1"/>
        <v>28</v>
      </c>
      <c r="R15" s="20">
        <f t="shared" si="1"/>
        <v>6</v>
      </c>
      <c r="S15" s="21">
        <f t="shared" si="1"/>
        <v>22</v>
      </c>
      <c r="T15" s="20"/>
      <c r="U15" s="21" t="s">
        <v>54</v>
      </c>
      <c r="V15" s="20"/>
      <c r="W15" s="21"/>
      <c r="X15" s="20"/>
      <c r="Y15" s="21"/>
      <c r="Z15" s="20"/>
      <c r="AA15" s="21"/>
      <c r="AB15" s="20"/>
      <c r="AC15" s="21" t="s">
        <v>54</v>
      </c>
      <c r="AE15" s="7" t="str">
        <f t="shared" si="5"/>
        <v>10A11</v>
      </c>
      <c r="AF15" s="19">
        <f t="shared" si="2"/>
        <v>28</v>
      </c>
      <c r="AG15" s="20">
        <f t="shared" si="2"/>
        <v>6</v>
      </c>
      <c r="AH15" s="21">
        <f t="shared" si="2"/>
        <v>22</v>
      </c>
      <c r="AI15" s="20"/>
      <c r="AJ15" s="21" t="s">
        <v>54</v>
      </c>
      <c r="AK15" s="20"/>
      <c r="AL15" s="21"/>
      <c r="AM15" s="20"/>
      <c r="AN15" s="21"/>
      <c r="AO15" s="20"/>
      <c r="AP15" s="21"/>
      <c r="AQ15" s="20"/>
      <c r="AR15" s="21" t="s">
        <v>54</v>
      </c>
      <c r="AT15" s="7" t="str">
        <f t="shared" si="6"/>
        <v>10A11</v>
      </c>
      <c r="AU15" s="19">
        <f t="shared" si="3"/>
        <v>28</v>
      </c>
      <c r="AV15" s="20">
        <f t="shared" si="3"/>
        <v>6</v>
      </c>
      <c r="AW15" s="21">
        <f t="shared" si="3"/>
        <v>22</v>
      </c>
      <c r="AX15" s="20"/>
      <c r="AY15" s="21" t="s">
        <v>54</v>
      </c>
      <c r="AZ15" s="20"/>
      <c r="BA15" s="21"/>
      <c r="BB15" s="20"/>
      <c r="BC15" s="21"/>
      <c r="BD15" s="20"/>
      <c r="BE15" s="21" t="s">
        <v>54</v>
      </c>
      <c r="BF15" s="20"/>
      <c r="BG15" s="21" t="s">
        <v>54</v>
      </c>
    </row>
    <row r="16" spans="1:59" ht="17.25" thickBot="1" x14ac:dyDescent="0.25">
      <c r="A16" s="7" t="s">
        <v>3</v>
      </c>
      <c r="B16" s="19">
        <f t="shared" si="0"/>
        <v>27</v>
      </c>
      <c r="C16" s="20">
        <v>13</v>
      </c>
      <c r="D16" s="21">
        <v>14</v>
      </c>
      <c r="E16" s="20"/>
      <c r="F16" s="21"/>
      <c r="G16" s="20"/>
      <c r="H16" s="21"/>
      <c r="I16" s="20" t="s">
        <v>54</v>
      </c>
      <c r="J16" s="21"/>
      <c r="K16" s="20" t="s">
        <v>54</v>
      </c>
      <c r="L16" s="21"/>
      <c r="M16" s="20" t="s">
        <v>54</v>
      </c>
      <c r="N16" s="21"/>
      <c r="P16" s="7" t="str">
        <f t="shared" si="4"/>
        <v>10A12</v>
      </c>
      <c r="Q16" s="19">
        <f t="shared" si="1"/>
        <v>27</v>
      </c>
      <c r="R16" s="20">
        <f t="shared" si="1"/>
        <v>13</v>
      </c>
      <c r="S16" s="21">
        <f t="shared" si="1"/>
        <v>14</v>
      </c>
      <c r="T16" s="20"/>
      <c r="U16" s="21"/>
      <c r="V16" s="20"/>
      <c r="W16" s="21" t="s">
        <v>54</v>
      </c>
      <c r="X16" s="20"/>
      <c r="Y16" s="21"/>
      <c r="Z16" s="20" t="s">
        <v>54</v>
      </c>
      <c r="AA16" s="21"/>
      <c r="AB16" s="20" t="s">
        <v>54</v>
      </c>
      <c r="AC16" s="21"/>
      <c r="AE16" s="7" t="str">
        <f t="shared" si="5"/>
        <v>10A12</v>
      </c>
      <c r="AF16" s="19">
        <f t="shared" si="2"/>
        <v>27</v>
      </c>
      <c r="AG16" s="20">
        <f t="shared" si="2"/>
        <v>13</v>
      </c>
      <c r="AH16" s="21">
        <f t="shared" si="2"/>
        <v>14</v>
      </c>
      <c r="AI16" s="20"/>
      <c r="AJ16" s="21"/>
      <c r="AK16" s="20"/>
      <c r="AL16" s="21"/>
      <c r="AM16" s="20"/>
      <c r="AN16" s="21"/>
      <c r="AO16" s="20" t="s">
        <v>54</v>
      </c>
      <c r="AP16" s="21"/>
      <c r="AQ16" s="20" t="s">
        <v>54</v>
      </c>
      <c r="AR16" s="21"/>
      <c r="AT16" s="7" t="str">
        <f t="shared" si="6"/>
        <v>10A12</v>
      </c>
      <c r="AU16" s="19">
        <f t="shared" si="3"/>
        <v>27</v>
      </c>
      <c r="AV16" s="20">
        <f t="shared" si="3"/>
        <v>13</v>
      </c>
      <c r="AW16" s="21">
        <f t="shared" si="3"/>
        <v>14</v>
      </c>
      <c r="AX16" s="20"/>
      <c r="AY16" s="21"/>
      <c r="AZ16" s="20"/>
      <c r="BA16" s="21"/>
      <c r="BB16" s="20"/>
      <c r="BC16" s="21"/>
      <c r="BD16" s="20" t="s">
        <v>54</v>
      </c>
      <c r="BE16" s="21"/>
      <c r="BF16" s="20" t="s">
        <v>54</v>
      </c>
      <c r="BG16" s="21"/>
    </row>
    <row r="17" spans="1:59" x14ac:dyDescent="0.2">
      <c r="A17" s="6" t="s">
        <v>6</v>
      </c>
      <c r="B17" s="16">
        <f t="shared" si="0"/>
        <v>34</v>
      </c>
      <c r="C17" s="17">
        <v>20</v>
      </c>
      <c r="D17" s="18">
        <v>14</v>
      </c>
      <c r="E17" s="17"/>
      <c r="F17" s="18"/>
      <c r="G17" s="17"/>
      <c r="H17" s="18" t="s">
        <v>54</v>
      </c>
      <c r="I17" s="17"/>
      <c r="J17" s="18" t="s">
        <v>54</v>
      </c>
      <c r="K17" s="17" t="s">
        <v>54</v>
      </c>
      <c r="L17" s="18"/>
      <c r="M17" s="17" t="s">
        <v>54</v>
      </c>
      <c r="N17" s="18"/>
      <c r="P17" s="6" t="str">
        <f t="shared" si="4"/>
        <v>11A1</v>
      </c>
      <c r="Q17" s="16">
        <f t="shared" si="1"/>
        <v>34</v>
      </c>
      <c r="R17" s="17">
        <f t="shared" si="1"/>
        <v>20</v>
      </c>
      <c r="S17" s="18">
        <f t="shared" si="1"/>
        <v>14</v>
      </c>
      <c r="T17" s="17"/>
      <c r="U17" s="18"/>
      <c r="V17" s="17"/>
      <c r="W17" s="18"/>
      <c r="X17" s="17"/>
      <c r="Y17" s="18" t="s">
        <v>54</v>
      </c>
      <c r="Z17" s="17"/>
      <c r="AA17" s="18"/>
      <c r="AB17" s="17" t="s">
        <v>54</v>
      </c>
      <c r="AC17" s="18"/>
      <c r="AE17" s="6" t="str">
        <f t="shared" si="5"/>
        <v>11A1</v>
      </c>
      <c r="AF17" s="16">
        <f t="shared" si="2"/>
        <v>34</v>
      </c>
      <c r="AG17" s="17">
        <f t="shared" si="2"/>
        <v>20</v>
      </c>
      <c r="AH17" s="18">
        <f t="shared" si="2"/>
        <v>14</v>
      </c>
      <c r="AI17" s="17"/>
      <c r="AJ17" s="18"/>
      <c r="AK17" s="17"/>
      <c r="AL17" s="18"/>
      <c r="AM17" s="17"/>
      <c r="AN17" s="18" t="s">
        <v>54</v>
      </c>
      <c r="AO17" s="17"/>
      <c r="AP17" s="18"/>
      <c r="AQ17" s="17" t="s">
        <v>54</v>
      </c>
      <c r="AR17" s="18"/>
      <c r="AT17" s="6" t="str">
        <f t="shared" si="6"/>
        <v>11A1</v>
      </c>
      <c r="AU17" s="16">
        <f t="shared" si="3"/>
        <v>34</v>
      </c>
      <c r="AV17" s="17">
        <f t="shared" si="3"/>
        <v>20</v>
      </c>
      <c r="AW17" s="18">
        <f t="shared" si="3"/>
        <v>14</v>
      </c>
      <c r="AX17" s="17"/>
      <c r="AY17" s="18"/>
      <c r="AZ17" s="17"/>
      <c r="BA17" s="18"/>
      <c r="BB17" s="17"/>
      <c r="BC17" s="18" t="s">
        <v>54</v>
      </c>
      <c r="BD17" s="17"/>
      <c r="BE17" s="18"/>
      <c r="BF17" s="17" t="s">
        <v>54</v>
      </c>
      <c r="BG17" s="18"/>
    </row>
    <row r="18" spans="1:59" x14ac:dyDescent="0.2">
      <c r="A18" s="7" t="s">
        <v>17</v>
      </c>
      <c r="B18" s="19">
        <f t="shared" si="0"/>
        <v>28</v>
      </c>
      <c r="C18" s="20">
        <v>15</v>
      </c>
      <c r="D18" s="21">
        <v>13</v>
      </c>
      <c r="E18" s="20" t="s">
        <v>54</v>
      </c>
      <c r="F18" s="21"/>
      <c r="G18" s="20"/>
      <c r="H18" s="21"/>
      <c r="I18" s="20"/>
      <c r="J18" s="21" t="s">
        <v>54</v>
      </c>
      <c r="K18" s="20"/>
      <c r="L18" s="21"/>
      <c r="M18" s="20"/>
      <c r="N18" s="21" t="s">
        <v>54</v>
      </c>
      <c r="P18" s="7" t="str">
        <f t="shared" si="4"/>
        <v>11A2</v>
      </c>
      <c r="Q18" s="19">
        <f t="shared" si="1"/>
        <v>28</v>
      </c>
      <c r="R18" s="20">
        <f t="shared" si="1"/>
        <v>15</v>
      </c>
      <c r="S18" s="21">
        <f t="shared" si="1"/>
        <v>13</v>
      </c>
      <c r="T18" s="20" t="s">
        <v>54</v>
      </c>
      <c r="U18" s="21"/>
      <c r="V18" s="20"/>
      <c r="W18" s="21"/>
      <c r="X18" s="20"/>
      <c r="Y18" s="21" t="s">
        <v>54</v>
      </c>
      <c r="Z18" s="20"/>
      <c r="AA18" s="21"/>
      <c r="AB18" s="20"/>
      <c r="AC18" s="21" t="s">
        <v>54</v>
      </c>
      <c r="AE18" s="7" t="str">
        <f t="shared" si="5"/>
        <v>11A2</v>
      </c>
      <c r="AF18" s="19">
        <f t="shared" si="2"/>
        <v>28</v>
      </c>
      <c r="AG18" s="20">
        <f t="shared" si="2"/>
        <v>15</v>
      </c>
      <c r="AH18" s="21">
        <f t="shared" si="2"/>
        <v>13</v>
      </c>
      <c r="AI18" s="20" t="s">
        <v>54</v>
      </c>
      <c r="AJ18" s="21"/>
      <c r="AK18" s="20"/>
      <c r="AL18" s="21"/>
      <c r="AM18" s="20"/>
      <c r="AN18" s="21" t="s">
        <v>54</v>
      </c>
      <c r="AO18" s="20" t="s">
        <v>54</v>
      </c>
      <c r="AP18" s="21"/>
      <c r="AQ18" s="20"/>
      <c r="AR18" s="21" t="s">
        <v>54</v>
      </c>
      <c r="AT18" s="7" t="str">
        <f t="shared" si="6"/>
        <v>11A2</v>
      </c>
      <c r="AU18" s="19">
        <f t="shared" si="3"/>
        <v>28</v>
      </c>
      <c r="AV18" s="20">
        <f t="shared" si="3"/>
        <v>15</v>
      </c>
      <c r="AW18" s="21">
        <f t="shared" si="3"/>
        <v>13</v>
      </c>
      <c r="AX18" s="20" t="s">
        <v>54</v>
      </c>
      <c r="AY18" s="21"/>
      <c r="AZ18" s="20"/>
      <c r="BA18" s="21"/>
      <c r="BB18" s="20"/>
      <c r="BC18" s="21" t="s">
        <v>54</v>
      </c>
      <c r="BD18" s="20" t="s">
        <v>54</v>
      </c>
      <c r="BE18" s="21"/>
      <c r="BF18" s="20"/>
      <c r="BG18" s="21" t="s">
        <v>54</v>
      </c>
    </row>
    <row r="19" spans="1:59" x14ac:dyDescent="0.2">
      <c r="A19" s="7" t="s">
        <v>26</v>
      </c>
      <c r="B19" s="19">
        <f t="shared" si="0"/>
        <v>26</v>
      </c>
      <c r="C19" s="20">
        <v>19</v>
      </c>
      <c r="D19" s="21">
        <v>7</v>
      </c>
      <c r="E19" s="20"/>
      <c r="F19" s="21"/>
      <c r="G19" s="20" t="s">
        <v>54</v>
      </c>
      <c r="H19" s="21"/>
      <c r="I19" s="20"/>
      <c r="J19" s="21" t="s">
        <v>54</v>
      </c>
      <c r="K19" s="20"/>
      <c r="L19" s="21"/>
      <c r="M19" s="20" t="s">
        <v>54</v>
      </c>
      <c r="N19" s="21"/>
      <c r="P19" s="7" t="str">
        <f t="shared" si="4"/>
        <v>11A3</v>
      </c>
      <c r="Q19" s="19">
        <f t="shared" si="1"/>
        <v>26</v>
      </c>
      <c r="R19" s="20">
        <f t="shared" si="1"/>
        <v>19</v>
      </c>
      <c r="S19" s="21">
        <f t="shared" si="1"/>
        <v>7</v>
      </c>
      <c r="T19" s="20"/>
      <c r="U19" s="21"/>
      <c r="V19" s="20" t="s">
        <v>54</v>
      </c>
      <c r="W19" s="21"/>
      <c r="X19" s="20"/>
      <c r="Y19" s="21"/>
      <c r="Z19" s="20"/>
      <c r="AA19" s="21"/>
      <c r="AB19" s="20" t="s">
        <v>54</v>
      </c>
      <c r="AC19" s="21"/>
      <c r="AE19" s="7" t="str">
        <f t="shared" si="5"/>
        <v>11A3</v>
      </c>
      <c r="AF19" s="19">
        <f t="shared" si="2"/>
        <v>26</v>
      </c>
      <c r="AG19" s="20">
        <f t="shared" si="2"/>
        <v>19</v>
      </c>
      <c r="AH19" s="21">
        <f t="shared" si="2"/>
        <v>7</v>
      </c>
      <c r="AI19" s="20"/>
      <c r="AJ19" s="21"/>
      <c r="AK19" s="20" t="s">
        <v>54</v>
      </c>
      <c r="AL19" s="21"/>
      <c r="AM19" s="20"/>
      <c r="AN19" s="21"/>
      <c r="AO19" s="20" t="s">
        <v>54</v>
      </c>
      <c r="AP19" s="21"/>
      <c r="AQ19" s="20" t="s">
        <v>54</v>
      </c>
      <c r="AR19" s="21"/>
      <c r="AT19" s="7" t="str">
        <f t="shared" si="6"/>
        <v>11A3</v>
      </c>
      <c r="AU19" s="19">
        <f t="shared" si="3"/>
        <v>26</v>
      </c>
      <c r="AV19" s="20">
        <f t="shared" si="3"/>
        <v>19</v>
      </c>
      <c r="AW19" s="21">
        <f t="shared" si="3"/>
        <v>7</v>
      </c>
      <c r="AX19" s="20"/>
      <c r="AY19" s="21"/>
      <c r="AZ19" s="20" t="s">
        <v>54</v>
      </c>
      <c r="BA19" s="21"/>
      <c r="BB19" s="20"/>
      <c r="BC19" s="21"/>
      <c r="BD19" s="20"/>
      <c r="BE19" s="21"/>
      <c r="BF19" s="20" t="s">
        <v>54</v>
      </c>
      <c r="BG19" s="21"/>
    </row>
    <row r="20" spans="1:59" x14ac:dyDescent="0.2">
      <c r="A20" s="7" t="s">
        <v>13</v>
      </c>
      <c r="B20" s="19">
        <f t="shared" si="0"/>
        <v>22</v>
      </c>
      <c r="C20" s="20">
        <v>17</v>
      </c>
      <c r="D20" s="21">
        <v>5</v>
      </c>
      <c r="E20" s="20"/>
      <c r="F20" s="21" t="s">
        <v>54</v>
      </c>
      <c r="G20" s="20"/>
      <c r="H20" s="21"/>
      <c r="I20" s="20"/>
      <c r="J20" s="21"/>
      <c r="K20" s="20" t="s">
        <v>54</v>
      </c>
      <c r="L20" s="21"/>
      <c r="M20" s="20"/>
      <c r="N20" s="21" t="s">
        <v>54</v>
      </c>
      <c r="P20" s="7" t="str">
        <f t="shared" si="4"/>
        <v>11A4</v>
      </c>
      <c r="Q20" s="19">
        <f t="shared" si="1"/>
        <v>22</v>
      </c>
      <c r="R20" s="20">
        <f t="shared" si="1"/>
        <v>17</v>
      </c>
      <c r="S20" s="21">
        <f t="shared" si="1"/>
        <v>5</v>
      </c>
      <c r="T20" s="20"/>
      <c r="U20" s="21" t="s">
        <v>54</v>
      </c>
      <c r="V20" s="20"/>
      <c r="W20" s="21"/>
      <c r="X20" s="20"/>
      <c r="Y20" s="21"/>
      <c r="Z20" s="20"/>
      <c r="AA20" s="21"/>
      <c r="AB20" s="20"/>
      <c r="AC20" s="21" t="s">
        <v>54</v>
      </c>
      <c r="AE20" s="7" t="str">
        <f t="shared" si="5"/>
        <v>11A4</v>
      </c>
      <c r="AF20" s="19">
        <f t="shared" si="2"/>
        <v>22</v>
      </c>
      <c r="AG20" s="20">
        <f t="shared" si="2"/>
        <v>17</v>
      </c>
      <c r="AH20" s="21">
        <f t="shared" si="2"/>
        <v>5</v>
      </c>
      <c r="AI20" s="20"/>
      <c r="AJ20" s="21" t="s">
        <v>54</v>
      </c>
      <c r="AK20" s="20"/>
      <c r="AL20" s="21"/>
      <c r="AM20" s="20"/>
      <c r="AN20" s="21"/>
      <c r="AO20" s="20"/>
      <c r="AP20" s="21"/>
      <c r="AQ20" s="20"/>
      <c r="AR20" s="21" t="s">
        <v>54</v>
      </c>
      <c r="AT20" s="7" t="str">
        <f t="shared" si="6"/>
        <v>11A4</v>
      </c>
      <c r="AU20" s="19">
        <f t="shared" si="3"/>
        <v>22</v>
      </c>
      <c r="AV20" s="20">
        <f t="shared" si="3"/>
        <v>17</v>
      </c>
      <c r="AW20" s="21">
        <f t="shared" si="3"/>
        <v>5</v>
      </c>
      <c r="AX20" s="20"/>
      <c r="AY20" s="21" t="s">
        <v>54</v>
      </c>
      <c r="AZ20" s="20"/>
      <c r="BA20" s="21"/>
      <c r="BB20" s="20"/>
      <c r="BC20" s="21"/>
      <c r="BD20" s="20" t="s">
        <v>54</v>
      </c>
      <c r="BE20" s="21"/>
      <c r="BF20" s="20"/>
      <c r="BG20" s="21" t="s">
        <v>54</v>
      </c>
    </row>
    <row r="21" spans="1:59" x14ac:dyDescent="0.2">
      <c r="A21" s="7" t="s">
        <v>5</v>
      </c>
      <c r="B21" s="19">
        <f t="shared" si="0"/>
        <v>26</v>
      </c>
      <c r="C21" s="20">
        <v>12</v>
      </c>
      <c r="D21" s="21">
        <v>14</v>
      </c>
      <c r="E21" s="20" t="s">
        <v>54</v>
      </c>
      <c r="F21" s="21"/>
      <c r="G21" s="20"/>
      <c r="H21" s="21"/>
      <c r="I21" s="20"/>
      <c r="J21" s="21"/>
      <c r="K21" s="20" t="s">
        <v>54</v>
      </c>
      <c r="L21" s="21"/>
      <c r="M21" s="20"/>
      <c r="N21" s="21" t="s">
        <v>54</v>
      </c>
      <c r="P21" s="7" t="str">
        <f t="shared" si="4"/>
        <v>11A5</v>
      </c>
      <c r="Q21" s="19">
        <f t="shared" si="1"/>
        <v>26</v>
      </c>
      <c r="R21" s="20">
        <f t="shared" si="1"/>
        <v>12</v>
      </c>
      <c r="S21" s="21">
        <f t="shared" si="1"/>
        <v>14</v>
      </c>
      <c r="T21" s="20" t="s">
        <v>54</v>
      </c>
      <c r="U21" s="21"/>
      <c r="V21" s="20"/>
      <c r="W21" s="21"/>
      <c r="X21" s="20"/>
      <c r="Y21" s="21"/>
      <c r="Z21" s="20" t="s">
        <v>54</v>
      </c>
      <c r="AA21" s="21"/>
      <c r="AB21" s="20"/>
      <c r="AC21" s="21" t="s">
        <v>54</v>
      </c>
      <c r="AE21" s="7" t="str">
        <f t="shared" si="5"/>
        <v>11A5</v>
      </c>
      <c r="AF21" s="19">
        <f t="shared" si="2"/>
        <v>26</v>
      </c>
      <c r="AG21" s="20">
        <f t="shared" si="2"/>
        <v>12</v>
      </c>
      <c r="AH21" s="21">
        <f t="shared" si="2"/>
        <v>14</v>
      </c>
      <c r="AI21" s="20" t="s">
        <v>54</v>
      </c>
      <c r="AJ21" s="21"/>
      <c r="AK21" s="20"/>
      <c r="AL21" s="21"/>
      <c r="AM21" s="20"/>
      <c r="AN21" s="21"/>
      <c r="AO21" s="20"/>
      <c r="AP21" s="21"/>
      <c r="AQ21" s="20"/>
      <c r="AR21" s="21" t="s">
        <v>54</v>
      </c>
      <c r="AT21" s="7" t="str">
        <f t="shared" si="6"/>
        <v>11A5</v>
      </c>
      <c r="AU21" s="19">
        <f t="shared" si="3"/>
        <v>26</v>
      </c>
      <c r="AV21" s="20">
        <f t="shared" si="3"/>
        <v>12</v>
      </c>
      <c r="AW21" s="21">
        <f t="shared" si="3"/>
        <v>14</v>
      </c>
      <c r="AX21" s="20" t="s">
        <v>54</v>
      </c>
      <c r="AY21" s="21"/>
      <c r="AZ21" s="20"/>
      <c r="BA21" s="21"/>
      <c r="BB21" s="20"/>
      <c r="BC21" s="21"/>
      <c r="BD21" s="20"/>
      <c r="BE21" s="21"/>
      <c r="BF21" s="20"/>
      <c r="BG21" s="21" t="s">
        <v>54</v>
      </c>
    </row>
    <row r="22" spans="1:59" x14ac:dyDescent="0.2">
      <c r="A22" s="7" t="s">
        <v>16</v>
      </c>
      <c r="B22" s="19">
        <f t="shared" si="0"/>
        <v>25</v>
      </c>
      <c r="C22" s="20">
        <v>12</v>
      </c>
      <c r="D22" s="21">
        <v>13</v>
      </c>
      <c r="E22" s="20" t="s">
        <v>54</v>
      </c>
      <c r="F22" s="21"/>
      <c r="G22" s="20"/>
      <c r="H22" s="21" t="s">
        <v>54</v>
      </c>
      <c r="I22" s="20"/>
      <c r="J22" s="21"/>
      <c r="K22" s="20"/>
      <c r="L22" s="21"/>
      <c r="M22" s="20"/>
      <c r="N22" s="21"/>
      <c r="P22" s="7" t="str">
        <f t="shared" si="4"/>
        <v>11A6</v>
      </c>
      <c r="Q22" s="19">
        <f t="shared" si="1"/>
        <v>25</v>
      </c>
      <c r="R22" s="20">
        <f t="shared" si="1"/>
        <v>12</v>
      </c>
      <c r="S22" s="21">
        <f t="shared" si="1"/>
        <v>13</v>
      </c>
      <c r="T22" s="20" t="s">
        <v>54</v>
      </c>
      <c r="U22" s="21"/>
      <c r="V22" s="20"/>
      <c r="W22" s="21" t="s">
        <v>54</v>
      </c>
      <c r="X22" s="20"/>
      <c r="Y22" s="21"/>
      <c r="Z22" s="20"/>
      <c r="AA22" s="21"/>
      <c r="AB22" s="20"/>
      <c r="AC22" s="21"/>
      <c r="AE22" s="7" t="str">
        <f t="shared" si="5"/>
        <v>11A6</v>
      </c>
      <c r="AF22" s="19">
        <f t="shared" si="2"/>
        <v>25</v>
      </c>
      <c r="AG22" s="20">
        <f t="shared" si="2"/>
        <v>12</v>
      </c>
      <c r="AH22" s="21">
        <f t="shared" si="2"/>
        <v>13</v>
      </c>
      <c r="AI22" s="20" t="s">
        <v>54</v>
      </c>
      <c r="AJ22" s="21"/>
      <c r="AK22" s="20"/>
      <c r="AL22" s="21" t="s">
        <v>54</v>
      </c>
      <c r="AM22" s="20"/>
      <c r="AN22" s="21"/>
      <c r="AO22" s="20" t="s">
        <v>54</v>
      </c>
      <c r="AP22" s="21"/>
      <c r="AQ22" s="20"/>
      <c r="AR22" s="21"/>
      <c r="AT22" s="7" t="str">
        <f t="shared" si="6"/>
        <v>11A6</v>
      </c>
      <c r="AU22" s="19">
        <f t="shared" si="3"/>
        <v>25</v>
      </c>
      <c r="AV22" s="20">
        <f t="shared" si="3"/>
        <v>12</v>
      </c>
      <c r="AW22" s="21">
        <f t="shared" si="3"/>
        <v>13</v>
      </c>
      <c r="AX22" s="20" t="s">
        <v>54</v>
      </c>
      <c r="AY22" s="21"/>
      <c r="AZ22" s="20"/>
      <c r="BA22" s="21" t="s">
        <v>54</v>
      </c>
      <c r="BB22" s="20"/>
      <c r="BC22" s="21"/>
      <c r="BD22" s="20" t="s">
        <v>54</v>
      </c>
      <c r="BE22" s="21"/>
      <c r="BF22" s="20"/>
      <c r="BG22" s="21"/>
    </row>
    <row r="23" spans="1:59" x14ac:dyDescent="0.2">
      <c r="A23" s="7" t="s">
        <v>27</v>
      </c>
      <c r="B23" s="19">
        <f t="shared" si="0"/>
        <v>25</v>
      </c>
      <c r="C23" s="20">
        <v>5</v>
      </c>
      <c r="D23" s="21">
        <v>20</v>
      </c>
      <c r="E23" s="20"/>
      <c r="F23" s="21" t="s">
        <v>54</v>
      </c>
      <c r="G23" s="20"/>
      <c r="H23" s="21"/>
      <c r="I23" s="20"/>
      <c r="J23" s="21"/>
      <c r="K23" s="20"/>
      <c r="L23" s="21"/>
      <c r="M23" s="20"/>
      <c r="N23" s="21" t="s">
        <v>54</v>
      </c>
      <c r="P23" s="7" t="str">
        <f t="shared" si="4"/>
        <v>11A7</v>
      </c>
      <c r="Q23" s="19">
        <f t="shared" si="1"/>
        <v>25</v>
      </c>
      <c r="R23" s="20">
        <f t="shared" si="1"/>
        <v>5</v>
      </c>
      <c r="S23" s="21">
        <f t="shared" si="1"/>
        <v>20</v>
      </c>
      <c r="T23" s="20"/>
      <c r="U23" s="21" t="s">
        <v>54</v>
      </c>
      <c r="V23" s="20"/>
      <c r="W23" s="21"/>
      <c r="X23" s="20"/>
      <c r="Y23" s="21"/>
      <c r="Z23" s="20" t="s">
        <v>54</v>
      </c>
      <c r="AA23" s="21"/>
      <c r="AB23" s="20"/>
      <c r="AC23" s="21" t="s">
        <v>54</v>
      </c>
      <c r="AE23" s="7" t="str">
        <f t="shared" si="5"/>
        <v>11A7</v>
      </c>
      <c r="AF23" s="19">
        <f t="shared" si="2"/>
        <v>25</v>
      </c>
      <c r="AG23" s="20">
        <f t="shared" si="2"/>
        <v>5</v>
      </c>
      <c r="AH23" s="21">
        <f t="shared" si="2"/>
        <v>20</v>
      </c>
      <c r="AI23" s="20"/>
      <c r="AJ23" s="21" t="s">
        <v>54</v>
      </c>
      <c r="AK23" s="20"/>
      <c r="AL23" s="21"/>
      <c r="AM23" s="20"/>
      <c r="AN23" s="21"/>
      <c r="AO23" s="20"/>
      <c r="AP23" s="21"/>
      <c r="AQ23" s="20"/>
      <c r="AR23" s="21" t="s">
        <v>54</v>
      </c>
      <c r="AT23" s="7" t="str">
        <f t="shared" si="6"/>
        <v>11A7</v>
      </c>
      <c r="AU23" s="19">
        <f t="shared" si="3"/>
        <v>25</v>
      </c>
      <c r="AV23" s="20">
        <f t="shared" si="3"/>
        <v>5</v>
      </c>
      <c r="AW23" s="21">
        <f t="shared" si="3"/>
        <v>20</v>
      </c>
      <c r="AX23" s="20"/>
      <c r="AY23" s="21" t="s">
        <v>54</v>
      </c>
      <c r="AZ23" s="20"/>
      <c r="BA23" s="21"/>
      <c r="BB23" s="20"/>
      <c r="BC23" s="21"/>
      <c r="BD23" s="20" t="s">
        <v>54</v>
      </c>
      <c r="BE23" s="21"/>
      <c r="BF23" s="20"/>
      <c r="BG23" s="21" t="s">
        <v>54</v>
      </c>
    </row>
    <row r="24" spans="1:59" x14ac:dyDescent="0.2">
      <c r="A24" s="7" t="s">
        <v>29</v>
      </c>
      <c r="B24" s="19">
        <f t="shared" si="0"/>
        <v>18</v>
      </c>
      <c r="C24" s="20">
        <v>14</v>
      </c>
      <c r="D24" s="21">
        <v>4</v>
      </c>
      <c r="E24" s="20"/>
      <c r="F24" s="21" t="s">
        <v>54</v>
      </c>
      <c r="G24" s="20"/>
      <c r="H24" s="21" t="s">
        <v>54</v>
      </c>
      <c r="I24" s="20"/>
      <c r="J24" s="21" t="s">
        <v>54</v>
      </c>
      <c r="K24" s="20" t="s">
        <v>54</v>
      </c>
      <c r="L24" s="21"/>
      <c r="M24" s="20"/>
      <c r="N24" s="21"/>
      <c r="P24" s="7" t="str">
        <f t="shared" si="4"/>
        <v>11A8</v>
      </c>
      <c r="Q24" s="19">
        <f t="shared" si="1"/>
        <v>18</v>
      </c>
      <c r="R24" s="20">
        <f t="shared" si="1"/>
        <v>14</v>
      </c>
      <c r="S24" s="21">
        <f t="shared" si="1"/>
        <v>4</v>
      </c>
      <c r="T24" s="20"/>
      <c r="U24" s="21" t="s">
        <v>54</v>
      </c>
      <c r="V24" s="20"/>
      <c r="W24" s="21" t="s">
        <v>54</v>
      </c>
      <c r="X24" s="20"/>
      <c r="Y24" s="21" t="s">
        <v>54</v>
      </c>
      <c r="Z24" s="20" t="s">
        <v>54</v>
      </c>
      <c r="AA24" s="21"/>
      <c r="AB24" s="20"/>
      <c r="AC24" s="21"/>
      <c r="AE24" s="7" t="str">
        <f t="shared" si="5"/>
        <v>11A8</v>
      </c>
      <c r="AF24" s="19">
        <f t="shared" si="2"/>
        <v>18</v>
      </c>
      <c r="AG24" s="20">
        <f t="shared" si="2"/>
        <v>14</v>
      </c>
      <c r="AH24" s="21">
        <f t="shared" si="2"/>
        <v>4</v>
      </c>
      <c r="AI24" s="20"/>
      <c r="AJ24" s="21" t="s">
        <v>54</v>
      </c>
      <c r="AK24" s="20"/>
      <c r="AL24" s="21" t="s">
        <v>54</v>
      </c>
      <c r="AM24" s="20"/>
      <c r="AN24" s="21" t="s">
        <v>54</v>
      </c>
      <c r="AO24" s="20"/>
      <c r="AP24" s="21"/>
      <c r="AQ24" s="20"/>
      <c r="AR24" s="21"/>
      <c r="AT24" s="7" t="str">
        <f t="shared" si="6"/>
        <v>11A8</v>
      </c>
      <c r="AU24" s="19">
        <f t="shared" si="3"/>
        <v>18</v>
      </c>
      <c r="AV24" s="20">
        <f t="shared" si="3"/>
        <v>14</v>
      </c>
      <c r="AW24" s="21">
        <f t="shared" si="3"/>
        <v>4</v>
      </c>
      <c r="AX24" s="20"/>
      <c r="AY24" s="21" t="s">
        <v>54</v>
      </c>
      <c r="AZ24" s="20"/>
      <c r="BA24" s="21" t="s">
        <v>54</v>
      </c>
      <c r="BB24" s="20"/>
      <c r="BC24" s="21" t="s">
        <v>54</v>
      </c>
      <c r="BD24" s="20"/>
      <c r="BE24" s="21"/>
      <c r="BF24" s="20"/>
      <c r="BG24" s="21"/>
    </row>
    <row r="25" spans="1:59" x14ac:dyDescent="0.2">
      <c r="A25" s="7" t="s">
        <v>37</v>
      </c>
      <c r="B25" s="19">
        <f t="shared" si="0"/>
        <v>27</v>
      </c>
      <c r="C25" s="20">
        <v>16</v>
      </c>
      <c r="D25" s="21">
        <v>11</v>
      </c>
      <c r="E25" s="20" t="s">
        <v>54</v>
      </c>
      <c r="F25" s="21"/>
      <c r="G25" s="20" t="s">
        <v>54</v>
      </c>
      <c r="H25" s="21"/>
      <c r="I25" s="20"/>
      <c r="J25" s="21"/>
      <c r="K25" s="20" t="s">
        <v>54</v>
      </c>
      <c r="L25" s="21"/>
      <c r="M25" s="20" t="s">
        <v>54</v>
      </c>
      <c r="N25" s="21"/>
      <c r="P25" s="7" t="str">
        <f t="shared" si="4"/>
        <v>11A9</v>
      </c>
      <c r="Q25" s="19">
        <f t="shared" si="1"/>
        <v>27</v>
      </c>
      <c r="R25" s="20">
        <f t="shared" si="1"/>
        <v>16</v>
      </c>
      <c r="S25" s="21">
        <f t="shared" si="1"/>
        <v>11</v>
      </c>
      <c r="T25" s="20" t="s">
        <v>54</v>
      </c>
      <c r="U25" s="21"/>
      <c r="V25" s="20" t="s">
        <v>54</v>
      </c>
      <c r="W25" s="21"/>
      <c r="X25" s="20"/>
      <c r="Y25" s="21"/>
      <c r="Z25" s="20" t="s">
        <v>54</v>
      </c>
      <c r="AA25" s="21"/>
      <c r="AB25" s="20" t="s">
        <v>54</v>
      </c>
      <c r="AC25" s="21"/>
      <c r="AE25" s="7" t="str">
        <f t="shared" si="5"/>
        <v>11A9</v>
      </c>
      <c r="AF25" s="19">
        <f t="shared" si="2"/>
        <v>27</v>
      </c>
      <c r="AG25" s="20">
        <f t="shared" si="2"/>
        <v>16</v>
      </c>
      <c r="AH25" s="21">
        <f t="shared" si="2"/>
        <v>11</v>
      </c>
      <c r="AI25" s="20" t="s">
        <v>54</v>
      </c>
      <c r="AJ25" s="21"/>
      <c r="AK25" s="20" t="s">
        <v>54</v>
      </c>
      <c r="AL25" s="21"/>
      <c r="AM25" s="20"/>
      <c r="AN25" s="21"/>
      <c r="AO25" s="20"/>
      <c r="AP25" s="21"/>
      <c r="AQ25" s="20" t="s">
        <v>54</v>
      </c>
      <c r="AR25" s="21"/>
      <c r="AT25" s="7" t="str">
        <f t="shared" si="6"/>
        <v>11A9</v>
      </c>
      <c r="AU25" s="19">
        <f t="shared" si="3"/>
        <v>27</v>
      </c>
      <c r="AV25" s="20">
        <f t="shared" si="3"/>
        <v>16</v>
      </c>
      <c r="AW25" s="21">
        <f t="shared" si="3"/>
        <v>11</v>
      </c>
      <c r="AX25" s="20" t="s">
        <v>54</v>
      </c>
      <c r="AY25" s="21"/>
      <c r="AZ25" s="20" t="s">
        <v>54</v>
      </c>
      <c r="BA25" s="21"/>
      <c r="BB25" s="20"/>
      <c r="BC25" s="21"/>
      <c r="BD25" s="20"/>
      <c r="BE25" s="21"/>
      <c r="BF25" s="20" t="s">
        <v>54</v>
      </c>
      <c r="BG25" s="21"/>
    </row>
    <row r="26" spans="1:59" x14ac:dyDescent="0.2">
      <c r="A26" s="7" t="s">
        <v>30</v>
      </c>
      <c r="B26" s="19">
        <f t="shared" si="0"/>
        <v>21</v>
      </c>
      <c r="C26" s="20">
        <v>16</v>
      </c>
      <c r="D26" s="21">
        <v>5</v>
      </c>
      <c r="E26" s="20" t="s">
        <v>54</v>
      </c>
      <c r="F26" s="21"/>
      <c r="G26" s="20"/>
      <c r="H26" s="21" t="s">
        <v>54</v>
      </c>
      <c r="I26" s="20"/>
      <c r="J26" s="21"/>
      <c r="K26" s="20"/>
      <c r="L26" s="21"/>
      <c r="M26" s="20" t="s">
        <v>54</v>
      </c>
      <c r="N26" s="21"/>
      <c r="P26" s="7" t="str">
        <f t="shared" si="4"/>
        <v>11A10</v>
      </c>
      <c r="Q26" s="19">
        <f t="shared" si="1"/>
        <v>21</v>
      </c>
      <c r="R26" s="20">
        <f t="shared" si="1"/>
        <v>16</v>
      </c>
      <c r="S26" s="21">
        <f t="shared" si="1"/>
        <v>5</v>
      </c>
      <c r="T26" s="20" t="s">
        <v>54</v>
      </c>
      <c r="U26" s="21"/>
      <c r="V26" s="20"/>
      <c r="W26" s="21" t="s">
        <v>54</v>
      </c>
      <c r="X26" s="20"/>
      <c r="Y26" s="21"/>
      <c r="Z26" s="20" t="s">
        <v>54</v>
      </c>
      <c r="AA26" s="21"/>
      <c r="AB26" s="20" t="s">
        <v>54</v>
      </c>
      <c r="AC26" s="21"/>
      <c r="AE26" s="7" t="str">
        <f t="shared" si="5"/>
        <v>11A10</v>
      </c>
      <c r="AF26" s="19">
        <f t="shared" si="2"/>
        <v>21</v>
      </c>
      <c r="AG26" s="20">
        <f t="shared" si="2"/>
        <v>16</v>
      </c>
      <c r="AH26" s="21">
        <f t="shared" si="2"/>
        <v>5</v>
      </c>
      <c r="AI26" s="20" t="s">
        <v>54</v>
      </c>
      <c r="AJ26" s="21"/>
      <c r="AK26" s="20"/>
      <c r="AL26" s="21" t="s">
        <v>54</v>
      </c>
      <c r="AM26" s="20"/>
      <c r="AN26" s="21"/>
      <c r="AO26" s="20"/>
      <c r="AP26" s="21"/>
      <c r="AQ26" s="20" t="s">
        <v>54</v>
      </c>
      <c r="AR26" s="21"/>
      <c r="AT26" s="7" t="str">
        <f t="shared" si="6"/>
        <v>11A10</v>
      </c>
      <c r="AU26" s="19">
        <f t="shared" si="3"/>
        <v>21</v>
      </c>
      <c r="AV26" s="20">
        <f t="shared" si="3"/>
        <v>16</v>
      </c>
      <c r="AW26" s="21">
        <f t="shared" si="3"/>
        <v>5</v>
      </c>
      <c r="AX26" s="20" t="s">
        <v>54</v>
      </c>
      <c r="AY26" s="21"/>
      <c r="AZ26" s="20"/>
      <c r="BA26" s="21" t="s">
        <v>54</v>
      </c>
      <c r="BB26" s="20"/>
      <c r="BC26" s="21"/>
      <c r="BD26" s="20" t="s">
        <v>54</v>
      </c>
      <c r="BE26" s="21"/>
      <c r="BF26" s="20" t="s">
        <v>54</v>
      </c>
      <c r="BG26" s="21"/>
    </row>
    <row r="27" spans="1:59" x14ac:dyDescent="0.2">
      <c r="A27" s="7" t="s">
        <v>35</v>
      </c>
      <c r="B27" s="19">
        <f t="shared" si="0"/>
        <v>34</v>
      </c>
      <c r="C27" s="20">
        <v>18</v>
      </c>
      <c r="D27" s="21">
        <v>16</v>
      </c>
      <c r="E27" s="20"/>
      <c r="F27" s="21"/>
      <c r="G27" s="20"/>
      <c r="H27" s="21" t="s">
        <v>54</v>
      </c>
      <c r="I27" s="20" t="s">
        <v>54</v>
      </c>
      <c r="J27" s="21"/>
      <c r="K27" s="20"/>
      <c r="L27" s="21"/>
      <c r="M27" s="20"/>
      <c r="N27" s="21"/>
      <c r="P27" s="7" t="str">
        <f t="shared" si="4"/>
        <v>11A11</v>
      </c>
      <c r="Q27" s="19">
        <f t="shared" si="1"/>
        <v>34</v>
      </c>
      <c r="R27" s="20">
        <f t="shared" si="1"/>
        <v>18</v>
      </c>
      <c r="S27" s="21">
        <f t="shared" si="1"/>
        <v>16</v>
      </c>
      <c r="T27" s="20"/>
      <c r="U27" s="21"/>
      <c r="V27" s="20"/>
      <c r="W27" s="21" t="s">
        <v>54</v>
      </c>
      <c r="X27" s="20" t="s">
        <v>54</v>
      </c>
      <c r="Y27" s="21"/>
      <c r="Z27" s="20" t="s">
        <v>54</v>
      </c>
      <c r="AA27" s="21"/>
      <c r="AB27" s="20"/>
      <c r="AC27" s="21"/>
      <c r="AE27" s="7" t="str">
        <f t="shared" si="5"/>
        <v>11A11</v>
      </c>
      <c r="AF27" s="19">
        <f t="shared" si="2"/>
        <v>34</v>
      </c>
      <c r="AG27" s="20">
        <f t="shared" si="2"/>
        <v>18</v>
      </c>
      <c r="AH27" s="21">
        <f t="shared" si="2"/>
        <v>16</v>
      </c>
      <c r="AI27" s="20"/>
      <c r="AJ27" s="21"/>
      <c r="AK27" s="20"/>
      <c r="AL27" s="21" t="s">
        <v>54</v>
      </c>
      <c r="AM27" s="20" t="s">
        <v>54</v>
      </c>
      <c r="AN27" s="21"/>
      <c r="AO27" s="20" t="s">
        <v>54</v>
      </c>
      <c r="AP27" s="21"/>
      <c r="AQ27" s="20"/>
      <c r="AR27" s="21"/>
      <c r="AT27" s="7" t="str">
        <f t="shared" si="6"/>
        <v>11A11</v>
      </c>
      <c r="AU27" s="19">
        <f t="shared" si="3"/>
        <v>34</v>
      </c>
      <c r="AV27" s="20">
        <f t="shared" si="3"/>
        <v>18</v>
      </c>
      <c r="AW27" s="21">
        <f t="shared" si="3"/>
        <v>16</v>
      </c>
      <c r="AX27" s="20"/>
      <c r="AY27" s="21"/>
      <c r="AZ27" s="20"/>
      <c r="BA27" s="21" t="s">
        <v>54</v>
      </c>
      <c r="BB27" s="20" t="s">
        <v>54</v>
      </c>
      <c r="BC27" s="21"/>
      <c r="BD27" s="20"/>
      <c r="BE27" s="21"/>
      <c r="BF27" s="20"/>
      <c r="BG27" s="21"/>
    </row>
    <row r="28" spans="1:59" x14ac:dyDescent="0.2">
      <c r="A28" s="7" t="s">
        <v>28</v>
      </c>
      <c r="B28" s="19">
        <f t="shared" si="0"/>
        <v>23</v>
      </c>
      <c r="C28" s="20">
        <v>10</v>
      </c>
      <c r="D28" s="21">
        <v>13</v>
      </c>
      <c r="E28" s="20"/>
      <c r="F28" s="21" t="s">
        <v>54</v>
      </c>
      <c r="G28" s="20" t="s">
        <v>54</v>
      </c>
      <c r="H28" s="21"/>
      <c r="I28" s="20"/>
      <c r="J28" s="21"/>
      <c r="K28" s="20"/>
      <c r="L28" s="21"/>
      <c r="M28" s="20" t="s">
        <v>54</v>
      </c>
      <c r="N28" s="21"/>
      <c r="P28" s="7" t="str">
        <f t="shared" si="4"/>
        <v>11A12</v>
      </c>
      <c r="Q28" s="19">
        <f t="shared" si="1"/>
        <v>23</v>
      </c>
      <c r="R28" s="20">
        <f t="shared" si="1"/>
        <v>10</v>
      </c>
      <c r="S28" s="21">
        <f t="shared" si="1"/>
        <v>13</v>
      </c>
      <c r="T28" s="20"/>
      <c r="U28" s="21" t="s">
        <v>54</v>
      </c>
      <c r="V28" s="20"/>
      <c r="W28" s="21"/>
      <c r="X28" s="20"/>
      <c r="Y28" s="21"/>
      <c r="Z28" s="20"/>
      <c r="AA28" s="21"/>
      <c r="AB28" s="20" t="s">
        <v>54</v>
      </c>
      <c r="AC28" s="21"/>
      <c r="AE28" s="7" t="str">
        <f t="shared" si="5"/>
        <v>11A12</v>
      </c>
      <c r="AF28" s="19">
        <f t="shared" si="2"/>
        <v>23</v>
      </c>
      <c r="AG28" s="20">
        <f t="shared" si="2"/>
        <v>10</v>
      </c>
      <c r="AH28" s="21">
        <f t="shared" si="2"/>
        <v>13</v>
      </c>
      <c r="AI28" s="20"/>
      <c r="AJ28" s="21" t="s">
        <v>54</v>
      </c>
      <c r="AK28" s="20"/>
      <c r="AL28" s="21"/>
      <c r="AM28" s="20"/>
      <c r="AN28" s="21"/>
      <c r="AO28" s="20"/>
      <c r="AP28" s="21"/>
      <c r="AQ28" s="20" t="s">
        <v>54</v>
      </c>
      <c r="AR28" s="21"/>
      <c r="AT28" s="7" t="str">
        <f t="shared" si="6"/>
        <v>11A12</v>
      </c>
      <c r="AU28" s="19">
        <f t="shared" si="3"/>
        <v>23</v>
      </c>
      <c r="AV28" s="20">
        <f t="shared" si="3"/>
        <v>10</v>
      </c>
      <c r="AW28" s="21">
        <f t="shared" si="3"/>
        <v>13</v>
      </c>
      <c r="AX28" s="20"/>
      <c r="AY28" s="21" t="s">
        <v>54</v>
      </c>
      <c r="AZ28" s="20"/>
      <c r="BA28" s="21"/>
      <c r="BB28" s="20"/>
      <c r="BC28" s="21"/>
      <c r="BD28" s="20" t="s">
        <v>54</v>
      </c>
      <c r="BE28" s="21"/>
      <c r="BF28" s="20" t="s">
        <v>54</v>
      </c>
      <c r="BG28" s="21"/>
    </row>
    <row r="29" spans="1:59" x14ac:dyDescent="0.2">
      <c r="A29" s="7" t="s">
        <v>15</v>
      </c>
      <c r="B29" s="19">
        <f t="shared" si="0"/>
        <v>14</v>
      </c>
      <c r="C29" s="20">
        <v>1</v>
      </c>
      <c r="D29" s="21">
        <v>13</v>
      </c>
      <c r="E29" s="20"/>
      <c r="F29" s="21"/>
      <c r="G29" s="20"/>
      <c r="H29" s="21" t="s">
        <v>54</v>
      </c>
      <c r="I29" s="20"/>
      <c r="J29" s="21" t="s">
        <v>54</v>
      </c>
      <c r="K29" s="20" t="s">
        <v>54</v>
      </c>
      <c r="L29" s="21"/>
      <c r="M29" s="20"/>
      <c r="N29" s="21" t="s">
        <v>54</v>
      </c>
      <c r="P29" s="7" t="str">
        <f t="shared" si="4"/>
        <v>11A13</v>
      </c>
      <c r="Q29" s="19">
        <f t="shared" si="1"/>
        <v>14</v>
      </c>
      <c r="R29" s="20">
        <f t="shared" si="1"/>
        <v>1</v>
      </c>
      <c r="S29" s="21">
        <f t="shared" si="1"/>
        <v>13</v>
      </c>
      <c r="T29" s="20"/>
      <c r="U29" s="21"/>
      <c r="V29" s="20"/>
      <c r="W29" s="21" t="s">
        <v>54</v>
      </c>
      <c r="X29" s="20"/>
      <c r="Y29" s="21" t="s">
        <v>54</v>
      </c>
      <c r="Z29" s="20" t="s">
        <v>54</v>
      </c>
      <c r="AA29" s="21"/>
      <c r="AB29" s="20"/>
      <c r="AC29" s="21" t="s">
        <v>54</v>
      </c>
      <c r="AE29" s="7" t="str">
        <f t="shared" si="5"/>
        <v>11A13</v>
      </c>
      <c r="AF29" s="19">
        <f t="shared" si="2"/>
        <v>14</v>
      </c>
      <c r="AG29" s="20">
        <f t="shared" si="2"/>
        <v>1</v>
      </c>
      <c r="AH29" s="21">
        <f t="shared" si="2"/>
        <v>13</v>
      </c>
      <c r="AI29" s="20"/>
      <c r="AJ29" s="21"/>
      <c r="AK29" s="20"/>
      <c r="AL29" s="21" t="s">
        <v>54</v>
      </c>
      <c r="AM29" s="20"/>
      <c r="AN29" s="21" t="s">
        <v>54</v>
      </c>
      <c r="AO29" s="20"/>
      <c r="AP29" s="21"/>
      <c r="AQ29" s="20"/>
      <c r="AR29" s="21" t="s">
        <v>54</v>
      </c>
      <c r="AT29" s="7" t="str">
        <f t="shared" si="6"/>
        <v>11A13</v>
      </c>
      <c r="AU29" s="19">
        <f t="shared" si="3"/>
        <v>14</v>
      </c>
      <c r="AV29" s="20">
        <f t="shared" si="3"/>
        <v>1</v>
      </c>
      <c r="AW29" s="21">
        <f t="shared" si="3"/>
        <v>13</v>
      </c>
      <c r="AX29" s="20"/>
      <c r="AY29" s="21"/>
      <c r="AZ29" s="20"/>
      <c r="BA29" s="21" t="s">
        <v>54</v>
      </c>
      <c r="BB29" s="20"/>
      <c r="BC29" s="21" t="s">
        <v>54</v>
      </c>
      <c r="BD29" s="20"/>
      <c r="BE29" s="21"/>
      <c r="BF29" s="20"/>
      <c r="BG29" s="21" t="s">
        <v>54</v>
      </c>
    </row>
    <row r="30" spans="1:59" ht="17.25" thickBot="1" x14ac:dyDescent="0.25">
      <c r="A30" s="8" t="s">
        <v>12</v>
      </c>
      <c r="B30" s="22">
        <f t="shared" si="0"/>
        <v>23</v>
      </c>
      <c r="C30" s="23">
        <v>10</v>
      </c>
      <c r="D30" s="24">
        <v>13</v>
      </c>
      <c r="E30" s="23" t="s">
        <v>54</v>
      </c>
      <c r="F30" s="24"/>
      <c r="G30" s="23"/>
      <c r="H30" s="24"/>
      <c r="I30" s="23"/>
      <c r="J30" s="24" t="s">
        <v>54</v>
      </c>
      <c r="K30" s="20" t="s">
        <v>54</v>
      </c>
      <c r="L30" s="21"/>
      <c r="M30" s="23" t="s">
        <v>54</v>
      </c>
      <c r="N30" s="24"/>
      <c r="P30" s="8" t="str">
        <f t="shared" si="4"/>
        <v>11A14</v>
      </c>
      <c r="Q30" s="22">
        <f t="shared" si="1"/>
        <v>23</v>
      </c>
      <c r="R30" s="23">
        <f t="shared" si="1"/>
        <v>10</v>
      </c>
      <c r="S30" s="24">
        <f t="shared" si="1"/>
        <v>13</v>
      </c>
      <c r="T30" s="23" t="s">
        <v>54</v>
      </c>
      <c r="U30" s="24"/>
      <c r="V30" s="23"/>
      <c r="W30" s="24"/>
      <c r="X30" s="23"/>
      <c r="Y30" s="24" t="s">
        <v>54</v>
      </c>
      <c r="Z30" s="20"/>
      <c r="AA30" s="21"/>
      <c r="AB30" s="23" t="s">
        <v>54</v>
      </c>
      <c r="AC30" s="24"/>
      <c r="AE30" s="8" t="str">
        <f t="shared" si="5"/>
        <v>11A14</v>
      </c>
      <c r="AF30" s="22">
        <f t="shared" si="2"/>
        <v>23</v>
      </c>
      <c r="AG30" s="23">
        <f t="shared" si="2"/>
        <v>10</v>
      </c>
      <c r="AH30" s="24">
        <f t="shared" si="2"/>
        <v>13</v>
      </c>
      <c r="AI30" s="23" t="s">
        <v>54</v>
      </c>
      <c r="AJ30" s="24"/>
      <c r="AK30" s="23"/>
      <c r="AL30" s="24"/>
      <c r="AM30" s="23"/>
      <c r="AN30" s="24" t="s">
        <v>54</v>
      </c>
      <c r="AO30" s="20"/>
      <c r="AP30" s="21"/>
      <c r="AQ30" s="23" t="s">
        <v>54</v>
      </c>
      <c r="AR30" s="24"/>
      <c r="AT30" s="8" t="str">
        <f t="shared" si="6"/>
        <v>11A14</v>
      </c>
      <c r="AU30" s="22">
        <f t="shared" si="3"/>
        <v>23</v>
      </c>
      <c r="AV30" s="23">
        <f t="shared" si="3"/>
        <v>10</v>
      </c>
      <c r="AW30" s="24">
        <f t="shared" si="3"/>
        <v>13</v>
      </c>
      <c r="AX30" s="23" t="s">
        <v>54</v>
      </c>
      <c r="AY30" s="24"/>
      <c r="AZ30" s="23"/>
      <c r="BA30" s="24" t="s">
        <v>54</v>
      </c>
      <c r="BB30" s="23"/>
      <c r="BC30" s="24" t="s">
        <v>54</v>
      </c>
      <c r="BD30" s="20"/>
      <c r="BE30" s="21"/>
      <c r="BF30" s="23" t="s">
        <v>54</v>
      </c>
      <c r="BG30" s="24"/>
    </row>
    <row r="31" spans="1:59" x14ac:dyDescent="0.2">
      <c r="A31" s="6" t="s">
        <v>8</v>
      </c>
      <c r="B31" s="16">
        <f t="shared" si="0"/>
        <v>22</v>
      </c>
      <c r="C31" s="17">
        <v>9</v>
      </c>
      <c r="D31" s="18">
        <v>13</v>
      </c>
      <c r="E31" s="17"/>
      <c r="F31" s="18"/>
      <c r="G31" s="17"/>
      <c r="H31" s="18"/>
      <c r="I31" s="17"/>
      <c r="J31" s="18"/>
      <c r="K31" s="17"/>
      <c r="L31" s="18"/>
      <c r="M31" s="17"/>
      <c r="N31" s="18"/>
      <c r="P31" s="6" t="str">
        <f t="shared" si="4"/>
        <v>12A1</v>
      </c>
      <c r="Q31" s="16">
        <f t="shared" si="1"/>
        <v>22</v>
      </c>
      <c r="R31" s="17">
        <f t="shared" si="1"/>
        <v>9</v>
      </c>
      <c r="S31" s="18">
        <f t="shared" si="1"/>
        <v>13</v>
      </c>
      <c r="T31" s="17"/>
      <c r="U31" s="18"/>
      <c r="V31" s="17"/>
      <c r="W31" s="18"/>
      <c r="X31" s="17"/>
      <c r="Y31" s="18"/>
      <c r="Z31" s="17"/>
      <c r="AA31" s="18"/>
      <c r="AB31" s="17"/>
      <c r="AC31" s="18"/>
      <c r="AE31" s="6" t="str">
        <f t="shared" si="5"/>
        <v>12A1</v>
      </c>
      <c r="AF31" s="16">
        <f t="shared" si="2"/>
        <v>22</v>
      </c>
      <c r="AG31" s="17">
        <f t="shared" si="2"/>
        <v>9</v>
      </c>
      <c r="AH31" s="18">
        <f t="shared" si="2"/>
        <v>13</v>
      </c>
      <c r="AI31" s="17"/>
      <c r="AJ31" s="18"/>
      <c r="AK31" s="17"/>
      <c r="AL31" s="18"/>
      <c r="AM31" s="17"/>
      <c r="AN31" s="18" t="s">
        <v>54</v>
      </c>
      <c r="AO31" s="17"/>
      <c r="AP31" s="18"/>
      <c r="AQ31" s="17"/>
      <c r="AR31" s="18"/>
      <c r="AT31" s="6" t="str">
        <f t="shared" si="6"/>
        <v>12A1</v>
      </c>
      <c r="AU31" s="16">
        <f t="shared" si="3"/>
        <v>22</v>
      </c>
      <c r="AV31" s="17">
        <f t="shared" si="3"/>
        <v>9</v>
      </c>
      <c r="AW31" s="18">
        <f t="shared" si="3"/>
        <v>13</v>
      </c>
      <c r="AX31" s="17"/>
      <c r="AY31" s="18"/>
      <c r="AZ31" s="17"/>
      <c r="BA31" s="18"/>
      <c r="BB31" s="17"/>
      <c r="BC31" s="18"/>
      <c r="BD31" s="17"/>
      <c r="BE31" s="18"/>
      <c r="BF31" s="17"/>
      <c r="BG31" s="18"/>
    </row>
    <row r="32" spans="1:59" x14ac:dyDescent="0.2">
      <c r="A32" s="7" t="s">
        <v>11</v>
      </c>
      <c r="B32" s="19">
        <f t="shared" si="0"/>
        <v>21</v>
      </c>
      <c r="C32" s="20">
        <v>16</v>
      </c>
      <c r="D32" s="21">
        <v>5</v>
      </c>
      <c r="E32" s="20"/>
      <c r="F32" s="21"/>
      <c r="G32" s="20"/>
      <c r="H32" s="21"/>
      <c r="I32" s="20"/>
      <c r="J32" s="21"/>
      <c r="K32" s="20"/>
      <c r="L32" s="21"/>
      <c r="M32" s="20"/>
      <c r="N32" s="21"/>
      <c r="P32" s="7" t="str">
        <f t="shared" si="4"/>
        <v>12A2</v>
      </c>
      <c r="Q32" s="19">
        <f t="shared" si="1"/>
        <v>21</v>
      </c>
      <c r="R32" s="20">
        <f t="shared" si="1"/>
        <v>16</v>
      </c>
      <c r="S32" s="21">
        <f t="shared" si="1"/>
        <v>5</v>
      </c>
      <c r="T32" s="20"/>
      <c r="U32" s="21"/>
      <c r="V32" s="20"/>
      <c r="W32" s="21"/>
      <c r="X32" s="20"/>
      <c r="Y32" s="21" t="s">
        <v>54</v>
      </c>
      <c r="Z32" s="20"/>
      <c r="AA32" s="21"/>
      <c r="AB32" s="20"/>
      <c r="AC32" s="21"/>
      <c r="AE32" s="7" t="str">
        <f t="shared" si="5"/>
        <v>12A2</v>
      </c>
      <c r="AF32" s="19">
        <f t="shared" si="2"/>
        <v>21</v>
      </c>
      <c r="AG32" s="20">
        <f t="shared" si="2"/>
        <v>16</v>
      </c>
      <c r="AH32" s="21">
        <f t="shared" si="2"/>
        <v>5</v>
      </c>
      <c r="AI32" s="20"/>
      <c r="AJ32" s="21"/>
      <c r="AK32" s="20"/>
      <c r="AL32" s="21"/>
      <c r="AM32" s="20"/>
      <c r="AN32" s="21"/>
      <c r="AO32" s="20"/>
      <c r="AP32" s="21"/>
      <c r="AQ32" s="20"/>
      <c r="AR32" s="21"/>
      <c r="AT32" s="7" t="str">
        <f t="shared" si="6"/>
        <v>12A2</v>
      </c>
      <c r="AU32" s="19">
        <f t="shared" si="3"/>
        <v>21</v>
      </c>
      <c r="AV32" s="20">
        <f t="shared" si="3"/>
        <v>16</v>
      </c>
      <c r="AW32" s="21">
        <f t="shared" si="3"/>
        <v>5</v>
      </c>
      <c r="AX32" s="20"/>
      <c r="AY32" s="21"/>
      <c r="AZ32" s="20"/>
      <c r="BA32" s="21"/>
      <c r="BB32" s="20"/>
      <c r="BC32" s="21" t="s">
        <v>54</v>
      </c>
      <c r="BD32" s="20"/>
      <c r="BE32" s="21"/>
      <c r="BF32" s="20"/>
      <c r="BG32" s="21"/>
    </row>
    <row r="33" spans="1:59" x14ac:dyDescent="0.2">
      <c r="A33" s="7" t="s">
        <v>24</v>
      </c>
      <c r="B33" s="19">
        <f t="shared" si="0"/>
        <v>16</v>
      </c>
      <c r="C33" s="20">
        <v>11</v>
      </c>
      <c r="D33" s="21">
        <v>5</v>
      </c>
      <c r="E33" s="20"/>
      <c r="F33" s="21"/>
      <c r="G33" s="20"/>
      <c r="H33" s="21"/>
      <c r="I33" s="20"/>
      <c r="J33" s="21"/>
      <c r="K33" s="20"/>
      <c r="L33" s="21"/>
      <c r="M33" s="20"/>
      <c r="N33" s="21"/>
      <c r="P33" s="7" t="str">
        <f t="shared" si="4"/>
        <v>12A3</v>
      </c>
      <c r="Q33" s="19">
        <f t="shared" si="1"/>
        <v>16</v>
      </c>
      <c r="R33" s="20">
        <f t="shared" si="1"/>
        <v>11</v>
      </c>
      <c r="S33" s="21">
        <f t="shared" si="1"/>
        <v>5</v>
      </c>
      <c r="T33" s="20"/>
      <c r="U33" s="21"/>
      <c r="V33" s="20"/>
      <c r="W33" s="21"/>
      <c r="X33" s="20"/>
      <c r="Y33" s="21"/>
      <c r="Z33" s="20"/>
      <c r="AA33" s="21"/>
      <c r="AB33" s="20" t="s">
        <v>54</v>
      </c>
      <c r="AC33" s="21"/>
      <c r="AE33" s="7" t="str">
        <f t="shared" si="5"/>
        <v>12A3</v>
      </c>
      <c r="AF33" s="19">
        <f t="shared" si="2"/>
        <v>16</v>
      </c>
      <c r="AG33" s="20">
        <f t="shared" si="2"/>
        <v>11</v>
      </c>
      <c r="AH33" s="21">
        <f t="shared" si="2"/>
        <v>5</v>
      </c>
      <c r="AI33" s="20"/>
      <c r="AJ33" s="21"/>
      <c r="AK33" s="20"/>
      <c r="AL33" s="21"/>
      <c r="AM33" s="20"/>
      <c r="AN33" s="21"/>
      <c r="AO33" s="20"/>
      <c r="AP33" s="21"/>
      <c r="AQ33" s="20" t="s">
        <v>54</v>
      </c>
      <c r="AR33" s="21"/>
      <c r="AT33" s="7" t="str">
        <f t="shared" si="6"/>
        <v>12A3</v>
      </c>
      <c r="AU33" s="19">
        <f t="shared" si="3"/>
        <v>16</v>
      </c>
      <c r="AV33" s="20">
        <f t="shared" si="3"/>
        <v>11</v>
      </c>
      <c r="AW33" s="21">
        <f t="shared" si="3"/>
        <v>5</v>
      </c>
      <c r="AX33" s="20"/>
      <c r="AY33" s="21"/>
      <c r="AZ33" s="20"/>
      <c r="BA33" s="21"/>
      <c r="BB33" s="20"/>
      <c r="BC33" s="21"/>
      <c r="BD33" s="20"/>
      <c r="BE33" s="21"/>
      <c r="BF33" s="20" t="s">
        <v>54</v>
      </c>
      <c r="BG33" s="21"/>
    </row>
    <row r="34" spans="1:59" x14ac:dyDescent="0.2">
      <c r="A34" s="7" t="s">
        <v>14</v>
      </c>
      <c r="B34" s="19">
        <f t="shared" si="0"/>
        <v>22</v>
      </c>
      <c r="C34" s="20">
        <v>14</v>
      </c>
      <c r="D34" s="21">
        <v>8</v>
      </c>
      <c r="E34" s="20"/>
      <c r="F34" s="21"/>
      <c r="G34" s="20"/>
      <c r="H34" s="21"/>
      <c r="I34" s="20"/>
      <c r="J34" s="21" t="s">
        <v>54</v>
      </c>
      <c r="K34" s="20"/>
      <c r="L34" s="21"/>
      <c r="M34" s="20"/>
      <c r="N34" s="21"/>
      <c r="P34" s="7" t="str">
        <f t="shared" si="4"/>
        <v>12A4</v>
      </c>
      <c r="Q34" s="19">
        <f t="shared" si="1"/>
        <v>22</v>
      </c>
      <c r="R34" s="20">
        <f t="shared" si="1"/>
        <v>14</v>
      </c>
      <c r="S34" s="21">
        <f t="shared" si="1"/>
        <v>8</v>
      </c>
      <c r="T34" s="20"/>
      <c r="U34" s="21"/>
      <c r="V34" s="20"/>
      <c r="W34" s="21"/>
      <c r="X34" s="20"/>
      <c r="Y34" s="21" t="s">
        <v>54</v>
      </c>
      <c r="Z34" s="20"/>
      <c r="AA34" s="21"/>
      <c r="AB34" s="20"/>
      <c r="AC34" s="21"/>
      <c r="AE34" s="7" t="str">
        <f t="shared" si="5"/>
        <v>12A4</v>
      </c>
      <c r="AF34" s="19">
        <f t="shared" si="2"/>
        <v>22</v>
      </c>
      <c r="AG34" s="20">
        <f t="shared" si="2"/>
        <v>14</v>
      </c>
      <c r="AH34" s="21">
        <f t="shared" si="2"/>
        <v>8</v>
      </c>
      <c r="AI34" s="20"/>
      <c r="AJ34" s="21"/>
      <c r="AK34" s="20"/>
      <c r="AL34" s="21"/>
      <c r="AM34" s="20"/>
      <c r="AN34" s="21" t="s">
        <v>54</v>
      </c>
      <c r="AO34" s="20"/>
      <c r="AP34" s="21"/>
      <c r="AQ34" s="20"/>
      <c r="AR34" s="21"/>
      <c r="AT34" s="7" t="str">
        <f t="shared" si="6"/>
        <v>12A4</v>
      </c>
      <c r="AU34" s="19">
        <f t="shared" si="3"/>
        <v>22</v>
      </c>
      <c r="AV34" s="20">
        <f t="shared" si="3"/>
        <v>14</v>
      </c>
      <c r="AW34" s="21">
        <f t="shared" si="3"/>
        <v>8</v>
      </c>
      <c r="AX34" s="20"/>
      <c r="AY34" s="21"/>
      <c r="AZ34" s="20"/>
      <c r="BA34" s="21"/>
      <c r="BB34" s="20"/>
      <c r="BC34" s="21" t="s">
        <v>54</v>
      </c>
      <c r="BD34" s="20"/>
      <c r="BE34" s="21"/>
      <c r="BF34" s="20"/>
      <c r="BG34" s="21"/>
    </row>
    <row r="35" spans="1:59" x14ac:dyDescent="0.2">
      <c r="A35" s="7" t="s">
        <v>20</v>
      </c>
      <c r="B35" s="19">
        <f t="shared" si="0"/>
        <v>20</v>
      </c>
      <c r="C35" s="20">
        <v>15</v>
      </c>
      <c r="D35" s="21">
        <v>5</v>
      </c>
      <c r="E35" s="20"/>
      <c r="F35" s="21" t="s">
        <v>54</v>
      </c>
      <c r="G35" s="20"/>
      <c r="H35" s="21"/>
      <c r="I35" s="20"/>
      <c r="J35" s="21"/>
      <c r="K35" s="20"/>
      <c r="L35" s="21" t="s">
        <v>54</v>
      </c>
      <c r="M35" s="20"/>
      <c r="N35" s="21"/>
      <c r="P35" s="7" t="str">
        <f t="shared" si="4"/>
        <v>12A5</v>
      </c>
      <c r="Q35" s="19">
        <f t="shared" si="1"/>
        <v>20</v>
      </c>
      <c r="R35" s="20">
        <f t="shared" si="1"/>
        <v>15</v>
      </c>
      <c r="S35" s="21">
        <f t="shared" si="1"/>
        <v>5</v>
      </c>
      <c r="T35" s="20"/>
      <c r="U35" s="21" t="s">
        <v>54</v>
      </c>
      <c r="V35" s="20"/>
      <c r="W35" s="21"/>
      <c r="X35" s="20"/>
      <c r="Y35" s="21"/>
      <c r="Z35" s="20"/>
      <c r="AA35" s="21" t="s">
        <v>54</v>
      </c>
      <c r="AB35" s="20"/>
      <c r="AC35" s="21"/>
      <c r="AE35" s="7" t="str">
        <f t="shared" si="5"/>
        <v>12A5</v>
      </c>
      <c r="AF35" s="19">
        <f t="shared" si="2"/>
        <v>20</v>
      </c>
      <c r="AG35" s="20">
        <f t="shared" si="2"/>
        <v>15</v>
      </c>
      <c r="AH35" s="21">
        <f t="shared" si="2"/>
        <v>5</v>
      </c>
      <c r="AI35" s="20"/>
      <c r="AJ35" s="21" t="s">
        <v>54</v>
      </c>
      <c r="AK35" s="20"/>
      <c r="AL35" s="21"/>
      <c r="AM35" s="20"/>
      <c r="AN35" s="21"/>
      <c r="AO35" s="20"/>
      <c r="AP35" s="21" t="s">
        <v>54</v>
      </c>
      <c r="AQ35" s="20"/>
      <c r="AR35" s="21"/>
      <c r="AT35" s="7" t="str">
        <f t="shared" si="6"/>
        <v>12A5</v>
      </c>
      <c r="AU35" s="19">
        <f t="shared" si="3"/>
        <v>20</v>
      </c>
      <c r="AV35" s="20">
        <f t="shared" si="3"/>
        <v>15</v>
      </c>
      <c r="AW35" s="21">
        <f t="shared" si="3"/>
        <v>5</v>
      </c>
      <c r="AX35" s="20"/>
      <c r="AY35" s="21" t="s">
        <v>54</v>
      </c>
      <c r="AZ35" s="20"/>
      <c r="BA35" s="21"/>
      <c r="BB35" s="20"/>
      <c r="BC35" s="21"/>
      <c r="BD35" s="20"/>
      <c r="BE35" s="21" t="s">
        <v>54</v>
      </c>
      <c r="BF35" s="20"/>
      <c r="BG35" s="21"/>
    </row>
    <row r="36" spans="1:59" x14ac:dyDescent="0.2">
      <c r="A36" s="7" t="s">
        <v>2</v>
      </c>
      <c r="B36" s="19">
        <f t="shared" si="0"/>
        <v>21</v>
      </c>
      <c r="C36" s="20">
        <v>8</v>
      </c>
      <c r="D36" s="21">
        <v>13</v>
      </c>
      <c r="E36" s="20" t="s">
        <v>54</v>
      </c>
      <c r="F36" s="21"/>
      <c r="G36" s="20"/>
      <c r="H36" s="21"/>
      <c r="I36" s="20"/>
      <c r="J36" s="21"/>
      <c r="K36" s="20"/>
      <c r="L36" s="21" t="s">
        <v>54</v>
      </c>
      <c r="M36" s="20"/>
      <c r="N36" s="21"/>
      <c r="P36" s="7" t="str">
        <f t="shared" si="4"/>
        <v>12A6</v>
      </c>
      <c r="Q36" s="19">
        <f t="shared" si="1"/>
        <v>21</v>
      </c>
      <c r="R36" s="20">
        <f t="shared" si="1"/>
        <v>8</v>
      </c>
      <c r="S36" s="21">
        <f t="shared" si="1"/>
        <v>13</v>
      </c>
      <c r="T36" s="20" t="s">
        <v>54</v>
      </c>
      <c r="U36" s="21"/>
      <c r="V36" s="20"/>
      <c r="W36" s="21"/>
      <c r="X36" s="20"/>
      <c r="Y36" s="21"/>
      <c r="Z36" s="20"/>
      <c r="AA36" s="21" t="s">
        <v>54</v>
      </c>
      <c r="AB36" s="20"/>
      <c r="AC36" s="21"/>
      <c r="AE36" s="7" t="str">
        <f t="shared" si="5"/>
        <v>12A6</v>
      </c>
      <c r="AF36" s="19">
        <f t="shared" si="2"/>
        <v>21</v>
      </c>
      <c r="AG36" s="20">
        <f t="shared" si="2"/>
        <v>8</v>
      </c>
      <c r="AH36" s="21">
        <f t="shared" si="2"/>
        <v>13</v>
      </c>
      <c r="AI36" s="20" t="s">
        <v>54</v>
      </c>
      <c r="AJ36" s="21"/>
      <c r="AK36" s="20"/>
      <c r="AL36" s="21"/>
      <c r="AM36" s="20"/>
      <c r="AN36" s="21"/>
      <c r="AO36" s="20"/>
      <c r="AP36" s="21" t="s">
        <v>54</v>
      </c>
      <c r="AQ36" s="20"/>
      <c r="AR36" s="21"/>
      <c r="AT36" s="7" t="str">
        <f t="shared" si="6"/>
        <v>12A6</v>
      </c>
      <c r="AU36" s="19">
        <f t="shared" si="3"/>
        <v>21</v>
      </c>
      <c r="AV36" s="20">
        <f t="shared" si="3"/>
        <v>8</v>
      </c>
      <c r="AW36" s="21">
        <f t="shared" si="3"/>
        <v>13</v>
      </c>
      <c r="AX36" s="20" t="s">
        <v>54</v>
      </c>
      <c r="AY36" s="21"/>
      <c r="AZ36" s="20"/>
      <c r="BA36" s="21"/>
      <c r="BB36" s="20"/>
      <c r="BC36" s="21"/>
      <c r="BD36" s="20"/>
      <c r="BE36" s="21" t="s">
        <v>54</v>
      </c>
      <c r="BF36" s="20"/>
      <c r="BG36" s="21"/>
    </row>
    <row r="37" spans="1:59" x14ac:dyDescent="0.2">
      <c r="A37" s="7" t="s">
        <v>22</v>
      </c>
      <c r="B37" s="19">
        <f t="shared" si="0"/>
        <v>29</v>
      </c>
      <c r="C37" s="20">
        <v>11</v>
      </c>
      <c r="D37" s="21">
        <v>18</v>
      </c>
      <c r="E37" s="20"/>
      <c r="F37" s="21"/>
      <c r="G37" s="20"/>
      <c r="H37" s="21" t="s">
        <v>54</v>
      </c>
      <c r="I37" s="20"/>
      <c r="J37" s="21"/>
      <c r="K37" s="20"/>
      <c r="L37" s="21"/>
      <c r="M37" s="20"/>
      <c r="N37" s="21"/>
      <c r="P37" s="7" t="str">
        <f t="shared" si="4"/>
        <v>12A7</v>
      </c>
      <c r="Q37" s="19">
        <f t="shared" si="1"/>
        <v>29</v>
      </c>
      <c r="R37" s="20">
        <f t="shared" si="1"/>
        <v>11</v>
      </c>
      <c r="S37" s="21">
        <f t="shared" si="1"/>
        <v>18</v>
      </c>
      <c r="T37" s="20"/>
      <c r="U37" s="21"/>
      <c r="V37" s="20"/>
      <c r="W37" s="21" t="s">
        <v>54</v>
      </c>
      <c r="X37" s="20"/>
      <c r="Y37" s="21"/>
      <c r="Z37" s="20"/>
      <c r="AA37" s="21"/>
      <c r="AB37" s="20"/>
      <c r="AC37" s="21"/>
      <c r="AE37" s="7" t="str">
        <f t="shared" si="5"/>
        <v>12A7</v>
      </c>
      <c r="AF37" s="19">
        <f t="shared" si="2"/>
        <v>29</v>
      </c>
      <c r="AG37" s="20">
        <f t="shared" si="2"/>
        <v>11</v>
      </c>
      <c r="AH37" s="21">
        <f t="shared" si="2"/>
        <v>18</v>
      </c>
      <c r="AI37" s="20"/>
      <c r="AJ37" s="21"/>
      <c r="AK37" s="20"/>
      <c r="AL37" s="21" t="s">
        <v>54</v>
      </c>
      <c r="AM37" s="20"/>
      <c r="AN37" s="21"/>
      <c r="AO37" s="20"/>
      <c r="AP37" s="21"/>
      <c r="AQ37" s="20"/>
      <c r="AR37" s="21"/>
      <c r="AT37" s="7" t="str">
        <f t="shared" si="6"/>
        <v>12A7</v>
      </c>
      <c r="AU37" s="19">
        <f t="shared" si="3"/>
        <v>29</v>
      </c>
      <c r="AV37" s="20">
        <f t="shared" si="3"/>
        <v>11</v>
      </c>
      <c r="AW37" s="21">
        <f t="shared" si="3"/>
        <v>18</v>
      </c>
      <c r="AX37" s="20"/>
      <c r="AY37" s="21"/>
      <c r="AZ37" s="20"/>
      <c r="BA37" s="21" t="s">
        <v>54</v>
      </c>
      <c r="BB37" s="20"/>
      <c r="BC37" s="21"/>
      <c r="BD37" s="20"/>
      <c r="BE37" s="21"/>
      <c r="BF37" s="20"/>
      <c r="BG37" s="21"/>
    </row>
    <row r="38" spans="1:59" x14ac:dyDescent="0.2">
      <c r="A38" s="7" t="s">
        <v>4</v>
      </c>
      <c r="B38" s="19">
        <f t="shared" si="0"/>
        <v>16</v>
      </c>
      <c r="C38" s="20">
        <v>7</v>
      </c>
      <c r="D38" s="21">
        <v>9</v>
      </c>
      <c r="E38" s="20"/>
      <c r="F38" s="21"/>
      <c r="G38" s="20"/>
      <c r="H38" s="21"/>
      <c r="I38" s="20"/>
      <c r="J38" s="21"/>
      <c r="K38" s="20"/>
      <c r="L38" s="21"/>
      <c r="M38" s="20"/>
      <c r="N38" s="21"/>
      <c r="P38" s="7" t="str">
        <f t="shared" si="4"/>
        <v>12A8</v>
      </c>
      <c r="Q38" s="19">
        <f t="shared" si="1"/>
        <v>16</v>
      </c>
      <c r="R38" s="20">
        <f t="shared" si="1"/>
        <v>7</v>
      </c>
      <c r="S38" s="21">
        <f t="shared" si="1"/>
        <v>9</v>
      </c>
      <c r="T38" s="20"/>
      <c r="U38" s="21"/>
      <c r="V38" s="20"/>
      <c r="W38" s="21"/>
      <c r="X38" s="20"/>
      <c r="Y38" s="21"/>
      <c r="Z38" s="20"/>
      <c r="AA38" s="21" t="s">
        <v>54</v>
      </c>
      <c r="AB38" s="20"/>
      <c r="AC38" s="21"/>
      <c r="AE38" s="7" t="str">
        <f t="shared" si="5"/>
        <v>12A8</v>
      </c>
      <c r="AF38" s="19">
        <f t="shared" si="2"/>
        <v>16</v>
      </c>
      <c r="AG38" s="20">
        <f t="shared" si="2"/>
        <v>7</v>
      </c>
      <c r="AH38" s="21">
        <f t="shared" si="2"/>
        <v>9</v>
      </c>
      <c r="AI38" s="20"/>
      <c r="AJ38" s="21"/>
      <c r="AK38" s="20"/>
      <c r="AL38" s="21"/>
      <c r="AM38" s="20"/>
      <c r="AN38" s="21"/>
      <c r="AO38" s="20"/>
      <c r="AP38" s="21" t="s">
        <v>54</v>
      </c>
      <c r="AQ38" s="20"/>
      <c r="AR38" s="21"/>
      <c r="AT38" s="7" t="str">
        <f t="shared" si="6"/>
        <v>12A8</v>
      </c>
      <c r="AU38" s="19">
        <f t="shared" si="3"/>
        <v>16</v>
      </c>
      <c r="AV38" s="20">
        <f t="shared" si="3"/>
        <v>7</v>
      </c>
      <c r="AW38" s="21">
        <f t="shared" si="3"/>
        <v>9</v>
      </c>
      <c r="AX38" s="20"/>
      <c r="AY38" s="21"/>
      <c r="AZ38" s="20"/>
      <c r="BA38" s="21"/>
      <c r="BB38" s="20"/>
      <c r="BC38" s="21"/>
      <c r="BD38" s="20"/>
      <c r="BE38" s="21" t="s">
        <v>54</v>
      </c>
      <c r="BF38" s="20"/>
      <c r="BG38" s="21"/>
    </row>
    <row r="39" spans="1:59" x14ac:dyDescent="0.2">
      <c r="A39" s="7" t="s">
        <v>25</v>
      </c>
      <c r="B39" s="19">
        <f t="shared" si="0"/>
        <v>26</v>
      </c>
      <c r="C39" s="20">
        <v>8</v>
      </c>
      <c r="D39" s="21">
        <v>18</v>
      </c>
      <c r="E39" s="20"/>
      <c r="F39" s="21"/>
      <c r="G39" s="20"/>
      <c r="H39" s="21"/>
      <c r="I39" s="20"/>
      <c r="J39" s="21"/>
      <c r="K39" s="20"/>
      <c r="L39" s="21"/>
      <c r="M39" s="20"/>
      <c r="N39" s="21"/>
      <c r="P39" s="7" t="str">
        <f t="shared" si="4"/>
        <v>12A9</v>
      </c>
      <c r="Q39" s="19">
        <f t="shared" si="1"/>
        <v>26</v>
      </c>
      <c r="R39" s="20">
        <f t="shared" si="1"/>
        <v>8</v>
      </c>
      <c r="S39" s="21">
        <f t="shared" si="1"/>
        <v>18</v>
      </c>
      <c r="T39" s="20"/>
      <c r="U39" s="21"/>
      <c r="V39" s="20"/>
      <c r="W39" s="21"/>
      <c r="X39" s="20"/>
      <c r="Y39" s="21"/>
      <c r="Z39" s="20"/>
      <c r="AA39" s="21"/>
      <c r="AB39" s="20"/>
      <c r="AC39" s="21"/>
      <c r="AE39" s="7" t="str">
        <f t="shared" si="5"/>
        <v>12A9</v>
      </c>
      <c r="AF39" s="19">
        <f t="shared" si="2"/>
        <v>26</v>
      </c>
      <c r="AG39" s="20">
        <f t="shared" si="2"/>
        <v>8</v>
      </c>
      <c r="AH39" s="21">
        <f t="shared" si="2"/>
        <v>18</v>
      </c>
      <c r="AI39" s="20"/>
      <c r="AJ39" s="21"/>
      <c r="AK39" s="20"/>
      <c r="AL39" s="21"/>
      <c r="AM39" s="20"/>
      <c r="AN39" s="21"/>
      <c r="AO39" s="20"/>
      <c r="AP39" s="21"/>
      <c r="AQ39" s="20"/>
      <c r="AR39" s="21"/>
      <c r="AT39" s="7" t="str">
        <f t="shared" si="6"/>
        <v>12A9</v>
      </c>
      <c r="AU39" s="19">
        <f t="shared" si="3"/>
        <v>26</v>
      </c>
      <c r="AV39" s="20">
        <f t="shared" si="3"/>
        <v>8</v>
      </c>
      <c r="AW39" s="21">
        <f t="shared" si="3"/>
        <v>18</v>
      </c>
      <c r="AX39" s="20"/>
      <c r="AY39" s="21"/>
      <c r="AZ39" s="20"/>
      <c r="BA39" s="21"/>
      <c r="BB39" s="20"/>
      <c r="BC39" s="21"/>
      <c r="BD39" s="20"/>
      <c r="BE39" s="21"/>
      <c r="BF39" s="20"/>
      <c r="BG39" s="21"/>
    </row>
    <row r="40" spans="1:59" x14ac:dyDescent="0.2">
      <c r="A40" s="7" t="s">
        <v>18</v>
      </c>
      <c r="B40" s="19">
        <f t="shared" si="0"/>
        <v>15</v>
      </c>
      <c r="C40" s="20">
        <v>4</v>
      </c>
      <c r="D40" s="21">
        <v>11</v>
      </c>
      <c r="E40" s="20"/>
      <c r="F40" s="21" t="s">
        <v>54</v>
      </c>
      <c r="G40" s="20"/>
      <c r="H40" s="21"/>
      <c r="I40" s="20"/>
      <c r="J40" s="21"/>
      <c r="K40" s="20"/>
      <c r="L40" s="21"/>
      <c r="M40" s="20"/>
      <c r="N40" s="21"/>
      <c r="P40" s="7" t="str">
        <f t="shared" si="4"/>
        <v>12A10</v>
      </c>
      <c r="Q40" s="19">
        <f t="shared" si="1"/>
        <v>15</v>
      </c>
      <c r="R40" s="20">
        <f t="shared" si="1"/>
        <v>4</v>
      </c>
      <c r="S40" s="21">
        <f t="shared" si="1"/>
        <v>11</v>
      </c>
      <c r="T40" s="20"/>
      <c r="U40" s="21" t="s">
        <v>54</v>
      </c>
      <c r="V40" s="20"/>
      <c r="W40" s="21"/>
      <c r="X40" s="20"/>
      <c r="Y40" s="21"/>
      <c r="Z40" s="20"/>
      <c r="AA40" s="21"/>
      <c r="AB40" s="20"/>
      <c r="AC40" s="21"/>
      <c r="AE40" s="7" t="str">
        <f t="shared" si="5"/>
        <v>12A10</v>
      </c>
      <c r="AF40" s="19">
        <f t="shared" si="2"/>
        <v>15</v>
      </c>
      <c r="AG40" s="20">
        <f t="shared" si="2"/>
        <v>4</v>
      </c>
      <c r="AH40" s="21">
        <f t="shared" si="2"/>
        <v>11</v>
      </c>
      <c r="AI40" s="20"/>
      <c r="AJ40" s="21" t="s">
        <v>54</v>
      </c>
      <c r="AK40" s="20"/>
      <c r="AL40" s="21"/>
      <c r="AM40" s="20"/>
      <c r="AN40" s="21"/>
      <c r="AO40" s="20"/>
      <c r="AP40" s="21"/>
      <c r="AQ40" s="20"/>
      <c r="AR40" s="21"/>
      <c r="AT40" s="7" t="str">
        <f t="shared" si="6"/>
        <v>12A10</v>
      </c>
      <c r="AU40" s="19">
        <f t="shared" si="3"/>
        <v>15</v>
      </c>
      <c r="AV40" s="20">
        <f t="shared" si="3"/>
        <v>4</v>
      </c>
      <c r="AW40" s="21">
        <f t="shared" si="3"/>
        <v>11</v>
      </c>
      <c r="AX40" s="20"/>
      <c r="AY40" s="21" t="s">
        <v>54</v>
      </c>
      <c r="AZ40" s="20"/>
      <c r="BA40" s="21"/>
      <c r="BB40" s="20"/>
      <c r="BC40" s="21"/>
      <c r="BD40" s="20"/>
      <c r="BE40" s="21"/>
      <c r="BF40" s="20"/>
      <c r="BG40" s="21"/>
    </row>
    <row r="41" spans="1:59" x14ac:dyDescent="0.2">
      <c r="A41" s="7" t="s">
        <v>10</v>
      </c>
      <c r="B41" s="19">
        <f t="shared" si="0"/>
        <v>20</v>
      </c>
      <c r="C41" s="20">
        <v>8</v>
      </c>
      <c r="D41" s="21">
        <v>12</v>
      </c>
      <c r="E41" s="20" t="s">
        <v>54</v>
      </c>
      <c r="F41" s="21"/>
      <c r="G41" s="20"/>
      <c r="H41" s="21"/>
      <c r="I41" s="20"/>
      <c r="J41" s="21"/>
      <c r="K41" s="20"/>
      <c r="L41" s="21"/>
      <c r="M41" s="20"/>
      <c r="N41" s="21"/>
      <c r="P41" s="7" t="str">
        <f t="shared" si="4"/>
        <v>12A11</v>
      </c>
      <c r="Q41" s="19">
        <f t="shared" si="1"/>
        <v>20</v>
      </c>
      <c r="R41" s="20">
        <f t="shared" si="1"/>
        <v>8</v>
      </c>
      <c r="S41" s="21">
        <f t="shared" si="1"/>
        <v>12</v>
      </c>
      <c r="T41" s="20" t="s">
        <v>54</v>
      </c>
      <c r="U41" s="21"/>
      <c r="V41" s="20"/>
      <c r="W41" s="21"/>
      <c r="X41" s="20"/>
      <c r="Y41" s="21"/>
      <c r="Z41" s="20"/>
      <c r="AA41" s="21"/>
      <c r="AB41" s="20"/>
      <c r="AC41" s="21"/>
      <c r="AE41" s="7" t="str">
        <f t="shared" si="5"/>
        <v>12A11</v>
      </c>
      <c r="AF41" s="19">
        <f t="shared" si="2"/>
        <v>20</v>
      </c>
      <c r="AG41" s="20">
        <f t="shared" si="2"/>
        <v>8</v>
      </c>
      <c r="AH41" s="21">
        <f t="shared" si="2"/>
        <v>12</v>
      </c>
      <c r="AI41" s="20" t="s">
        <v>54</v>
      </c>
      <c r="AJ41" s="21"/>
      <c r="AK41" s="20"/>
      <c r="AL41" s="21"/>
      <c r="AM41" s="20"/>
      <c r="AN41" s="21"/>
      <c r="AO41" s="20"/>
      <c r="AP41" s="21"/>
      <c r="AQ41" s="20"/>
      <c r="AR41" s="21"/>
      <c r="AT41" s="7" t="str">
        <f t="shared" si="6"/>
        <v>12A11</v>
      </c>
      <c r="AU41" s="19">
        <f t="shared" si="3"/>
        <v>20</v>
      </c>
      <c r="AV41" s="20">
        <f t="shared" si="3"/>
        <v>8</v>
      </c>
      <c r="AW41" s="21">
        <f t="shared" si="3"/>
        <v>12</v>
      </c>
      <c r="AX41" s="20" t="s">
        <v>54</v>
      </c>
      <c r="AY41" s="21"/>
      <c r="AZ41" s="20"/>
      <c r="BA41" s="21"/>
      <c r="BB41" s="20"/>
      <c r="BC41" s="21"/>
      <c r="BD41" s="20"/>
      <c r="BE41" s="21"/>
      <c r="BF41" s="20"/>
      <c r="BG41" s="21"/>
    </row>
    <row r="42" spans="1:59" x14ac:dyDescent="0.2">
      <c r="A42" s="7" t="s">
        <v>19</v>
      </c>
      <c r="B42" s="19">
        <f t="shared" si="0"/>
        <v>24</v>
      </c>
      <c r="C42" s="20">
        <v>5</v>
      </c>
      <c r="D42" s="21">
        <v>19</v>
      </c>
      <c r="E42" s="20"/>
      <c r="F42" s="21" t="s">
        <v>54</v>
      </c>
      <c r="G42" s="20"/>
      <c r="H42" s="21"/>
      <c r="I42" s="20"/>
      <c r="J42" s="21"/>
      <c r="K42" s="20"/>
      <c r="L42" s="21"/>
      <c r="M42" s="20"/>
      <c r="N42" s="21"/>
      <c r="P42" s="7" t="str">
        <f t="shared" si="4"/>
        <v>12A12</v>
      </c>
      <c r="Q42" s="19">
        <f t="shared" si="1"/>
        <v>24</v>
      </c>
      <c r="R42" s="20">
        <f t="shared" si="1"/>
        <v>5</v>
      </c>
      <c r="S42" s="21">
        <f t="shared" si="1"/>
        <v>19</v>
      </c>
      <c r="T42" s="20"/>
      <c r="U42" s="21" t="s">
        <v>54</v>
      </c>
      <c r="V42" s="20"/>
      <c r="W42" s="21"/>
      <c r="X42" s="20"/>
      <c r="Y42" s="21"/>
      <c r="Z42" s="20"/>
      <c r="AA42" s="21"/>
      <c r="AB42" s="20"/>
      <c r="AC42" s="21"/>
      <c r="AE42" s="7" t="str">
        <f t="shared" si="5"/>
        <v>12A12</v>
      </c>
      <c r="AF42" s="19">
        <f t="shared" si="2"/>
        <v>24</v>
      </c>
      <c r="AG42" s="20">
        <f t="shared" si="2"/>
        <v>5</v>
      </c>
      <c r="AH42" s="21">
        <f t="shared" si="2"/>
        <v>19</v>
      </c>
      <c r="AI42" s="20"/>
      <c r="AJ42" s="21" t="s">
        <v>54</v>
      </c>
      <c r="AK42" s="20"/>
      <c r="AL42" s="21"/>
      <c r="AM42" s="20"/>
      <c r="AN42" s="21"/>
      <c r="AO42" s="20"/>
      <c r="AP42" s="21"/>
      <c r="AQ42" s="20"/>
      <c r="AR42" s="21"/>
      <c r="AT42" s="7" t="str">
        <f t="shared" si="6"/>
        <v>12A12</v>
      </c>
      <c r="AU42" s="19">
        <f t="shared" si="3"/>
        <v>24</v>
      </c>
      <c r="AV42" s="20">
        <f t="shared" si="3"/>
        <v>5</v>
      </c>
      <c r="AW42" s="21">
        <f t="shared" si="3"/>
        <v>19</v>
      </c>
      <c r="AX42" s="20"/>
      <c r="AY42" s="21" t="s">
        <v>54</v>
      </c>
      <c r="AZ42" s="20"/>
      <c r="BA42" s="21"/>
      <c r="BB42" s="20"/>
      <c r="BC42" s="21"/>
      <c r="BD42" s="20"/>
      <c r="BE42" s="21"/>
      <c r="BF42" s="20"/>
      <c r="BG42" s="21"/>
    </row>
    <row r="43" spans="1:59" ht="17.25" thickBot="1" x14ac:dyDescent="0.25">
      <c r="A43" s="8" t="s">
        <v>9</v>
      </c>
      <c r="B43" s="22">
        <f t="shared" si="0"/>
        <v>21</v>
      </c>
      <c r="C43" s="23">
        <v>8</v>
      </c>
      <c r="D43" s="24">
        <v>13</v>
      </c>
      <c r="E43" s="23"/>
      <c r="F43" s="24"/>
      <c r="G43" s="23"/>
      <c r="H43" s="24" t="s">
        <v>54</v>
      </c>
      <c r="I43" s="23"/>
      <c r="J43" s="24"/>
      <c r="K43" s="23"/>
      <c r="L43" s="24"/>
      <c r="M43" s="23"/>
      <c r="N43" s="24"/>
      <c r="P43" s="8" t="str">
        <f t="shared" si="4"/>
        <v>12A13</v>
      </c>
      <c r="Q43" s="22">
        <f t="shared" si="1"/>
        <v>21</v>
      </c>
      <c r="R43" s="23">
        <f t="shared" si="1"/>
        <v>8</v>
      </c>
      <c r="S43" s="24">
        <f t="shared" si="1"/>
        <v>13</v>
      </c>
      <c r="T43" s="23"/>
      <c r="U43" s="24"/>
      <c r="V43" s="23"/>
      <c r="W43" s="24" t="s">
        <v>54</v>
      </c>
      <c r="X43" s="23"/>
      <c r="Y43" s="24"/>
      <c r="Z43" s="23"/>
      <c r="AA43" s="24"/>
      <c r="AB43" s="23"/>
      <c r="AC43" s="24"/>
      <c r="AE43" s="8" t="str">
        <f t="shared" si="5"/>
        <v>12A13</v>
      </c>
      <c r="AF43" s="22">
        <f t="shared" si="2"/>
        <v>21</v>
      </c>
      <c r="AG43" s="23">
        <f t="shared" si="2"/>
        <v>8</v>
      </c>
      <c r="AH43" s="24">
        <f t="shared" si="2"/>
        <v>13</v>
      </c>
      <c r="AI43" s="23"/>
      <c r="AJ43" s="24"/>
      <c r="AK43" s="23"/>
      <c r="AL43" s="24" t="s">
        <v>54</v>
      </c>
      <c r="AM43" s="23"/>
      <c r="AN43" s="24"/>
      <c r="AO43" s="23"/>
      <c r="AP43" s="24"/>
      <c r="AQ43" s="23"/>
      <c r="AR43" s="24"/>
      <c r="AT43" s="8" t="str">
        <f t="shared" si="6"/>
        <v>12A13</v>
      </c>
      <c r="AU43" s="22">
        <f t="shared" si="3"/>
        <v>21</v>
      </c>
      <c r="AV43" s="23">
        <f t="shared" si="3"/>
        <v>8</v>
      </c>
      <c r="AW43" s="24">
        <f t="shared" si="3"/>
        <v>13</v>
      </c>
      <c r="AX43" s="23"/>
      <c r="AY43" s="24"/>
      <c r="AZ43" s="23"/>
      <c r="BA43" s="24" t="s">
        <v>54</v>
      </c>
      <c r="BB43" s="23"/>
      <c r="BC43" s="24"/>
      <c r="BD43" s="23"/>
      <c r="BE43" s="24"/>
      <c r="BF43" s="23"/>
      <c r="BG43" s="24"/>
    </row>
    <row r="44" spans="1:59" ht="17.25" thickBot="1" x14ac:dyDescent="0.25">
      <c r="B44" s="11">
        <f>SUM(B5:B43)</f>
        <v>953</v>
      </c>
      <c r="C44" s="4">
        <f>SUM(C5:C43)</f>
        <v>474</v>
      </c>
      <c r="D44" s="5">
        <f>SUM(D5:D43)</f>
        <v>479</v>
      </c>
      <c r="E44" s="12">
        <f t="shared" ref="E44:N44" si="7">SUMIFS($B$5:$B$43,E$5:E$43,"x")</f>
        <v>267</v>
      </c>
      <c r="F44" s="5">
        <f t="shared" si="7"/>
        <v>267</v>
      </c>
      <c r="G44" s="4">
        <f t="shared" si="7"/>
        <v>159</v>
      </c>
      <c r="H44" s="5">
        <f t="shared" si="7"/>
        <v>330</v>
      </c>
      <c r="I44" s="4">
        <f t="shared" si="7"/>
        <v>144</v>
      </c>
      <c r="J44" s="5">
        <f t="shared" si="7"/>
        <v>165</v>
      </c>
      <c r="K44" s="4">
        <f t="shared" si="7"/>
        <v>305</v>
      </c>
      <c r="L44" s="5">
        <f t="shared" si="7"/>
        <v>155</v>
      </c>
      <c r="M44" s="4">
        <f t="shared" si="7"/>
        <v>243</v>
      </c>
      <c r="N44" s="5">
        <f t="shared" si="7"/>
        <v>331</v>
      </c>
      <c r="Q44" s="11">
        <f>SUM(Q5:Q43)</f>
        <v>953</v>
      </c>
      <c r="R44" s="4">
        <f>SUM(R5:R43)</f>
        <v>474</v>
      </c>
      <c r="S44" s="5">
        <f>SUM(S5:S43)</f>
        <v>479</v>
      </c>
      <c r="T44" s="12">
        <f t="shared" ref="T44:AC44" si="8">SUMIFS($B$5:$B$43,T$5:T$43,"x")</f>
        <v>295</v>
      </c>
      <c r="U44" s="5">
        <f t="shared" si="8"/>
        <v>233</v>
      </c>
      <c r="V44" s="4">
        <f t="shared" si="8"/>
        <v>136</v>
      </c>
      <c r="W44" s="5">
        <f t="shared" si="8"/>
        <v>323</v>
      </c>
      <c r="X44" s="4">
        <f t="shared" si="8"/>
        <v>150</v>
      </c>
      <c r="Y44" s="5">
        <f t="shared" si="8"/>
        <v>160</v>
      </c>
      <c r="Z44" s="4">
        <f t="shared" si="8"/>
        <v>274</v>
      </c>
      <c r="AA44" s="5">
        <f t="shared" si="8"/>
        <v>146</v>
      </c>
      <c r="AB44" s="4">
        <f t="shared" si="8"/>
        <v>259</v>
      </c>
      <c r="AC44" s="5">
        <f t="shared" si="8"/>
        <v>331</v>
      </c>
      <c r="AF44" s="11">
        <f>SUM(AF5:AF43)</f>
        <v>953</v>
      </c>
      <c r="AG44" s="4">
        <f>SUM(AG5:AG43)</f>
        <v>474</v>
      </c>
      <c r="AH44" s="5">
        <f>SUM(AH5:AH43)</f>
        <v>479</v>
      </c>
      <c r="AI44" s="12">
        <f t="shared" ref="AI44:AR44" si="9">SUMIFS($B$5:$B$43,AI$5:AI$43,"x")</f>
        <v>267</v>
      </c>
      <c r="AJ44" s="5">
        <f t="shared" si="9"/>
        <v>233</v>
      </c>
      <c r="AK44" s="4">
        <f t="shared" si="9"/>
        <v>136</v>
      </c>
      <c r="AL44" s="5">
        <f t="shared" si="9"/>
        <v>296</v>
      </c>
      <c r="AM44" s="4">
        <f t="shared" si="9"/>
        <v>148</v>
      </c>
      <c r="AN44" s="5">
        <f t="shared" si="9"/>
        <v>161</v>
      </c>
      <c r="AO44" s="4">
        <f t="shared" si="9"/>
        <v>245</v>
      </c>
      <c r="AP44" s="5">
        <f t="shared" si="9"/>
        <v>146</v>
      </c>
      <c r="AQ44" s="4">
        <f t="shared" si="9"/>
        <v>259</v>
      </c>
      <c r="AR44" s="5">
        <f t="shared" si="9"/>
        <v>331</v>
      </c>
      <c r="AU44" s="11">
        <f>SUM(AU5:AU43)</f>
        <v>953</v>
      </c>
      <c r="AV44" s="4">
        <f>SUM(AV5:AV43)</f>
        <v>474</v>
      </c>
      <c r="AW44" s="5">
        <f>SUM(AW5:AW43)</f>
        <v>479</v>
      </c>
      <c r="AX44" s="12">
        <f t="shared" ref="AX44:BG44" si="10">SUMIFS($B$5:$B$43,AX$5:AX$43,"x")</f>
        <v>267</v>
      </c>
      <c r="AY44" s="5">
        <f t="shared" si="10"/>
        <v>233</v>
      </c>
      <c r="AZ44" s="4">
        <f t="shared" si="10"/>
        <v>136</v>
      </c>
      <c r="BA44" s="5">
        <f t="shared" si="10"/>
        <v>319</v>
      </c>
      <c r="BB44" s="4">
        <f t="shared" si="10"/>
        <v>142</v>
      </c>
      <c r="BC44" s="5">
        <f t="shared" si="10"/>
        <v>160</v>
      </c>
      <c r="BD44" s="4">
        <f t="shared" si="10"/>
        <v>276</v>
      </c>
      <c r="BE44" s="5">
        <f t="shared" si="10"/>
        <v>174</v>
      </c>
      <c r="BF44" s="4">
        <f t="shared" si="10"/>
        <v>259</v>
      </c>
      <c r="BG44" s="5">
        <f t="shared" si="10"/>
        <v>331</v>
      </c>
    </row>
    <row r="45" spans="1:59" ht="17.25" thickBot="1" x14ac:dyDescent="0.25">
      <c r="B45" s="1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Q45" s="1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F45" s="13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U45" s="13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ht="17.25" thickBot="1" x14ac:dyDescent="0.25">
      <c r="D46" s="3" t="s">
        <v>55</v>
      </c>
      <c r="E46" s="27">
        <f>SUM(E44:F44)</f>
        <v>534</v>
      </c>
      <c r="F46" s="32"/>
      <c r="G46" s="27">
        <f>SUM(G44:H44)</f>
        <v>489</v>
      </c>
      <c r="H46" s="32"/>
      <c r="I46" s="27">
        <f>SUM(I44:J44)</f>
        <v>309</v>
      </c>
      <c r="J46" s="32"/>
      <c r="K46" s="27">
        <f>SUM(K44:L44)</f>
        <v>460</v>
      </c>
      <c r="L46" s="32"/>
      <c r="M46" s="27">
        <f>SUM(M44:N44)</f>
        <v>574</v>
      </c>
      <c r="N46" s="32"/>
      <c r="S46" s="3" t="s">
        <v>55</v>
      </c>
      <c r="T46" s="27">
        <f>SUM(T44:U44)</f>
        <v>528</v>
      </c>
      <c r="U46" s="32"/>
      <c r="V46" s="27">
        <f>SUM(V44:W44)</f>
        <v>459</v>
      </c>
      <c r="W46" s="32"/>
      <c r="X46" s="27">
        <f>SUM(X44:Y44)</f>
        <v>310</v>
      </c>
      <c r="Y46" s="32"/>
      <c r="Z46" s="27">
        <f>SUM(Z44:AA44)</f>
        <v>420</v>
      </c>
      <c r="AA46" s="32"/>
      <c r="AB46" s="27">
        <f>SUM(AB44:AC44)</f>
        <v>590</v>
      </c>
      <c r="AC46" s="32"/>
      <c r="AH46" s="3" t="s">
        <v>55</v>
      </c>
      <c r="AI46" s="27">
        <f>SUM(AI44:AJ44)</f>
        <v>500</v>
      </c>
      <c r="AJ46" s="32"/>
      <c r="AK46" s="27">
        <f>SUM(AK44:AL44)</f>
        <v>432</v>
      </c>
      <c r="AL46" s="32"/>
      <c r="AM46" s="27">
        <f>SUM(AM44:AN44)</f>
        <v>309</v>
      </c>
      <c r="AN46" s="32"/>
      <c r="AO46" s="27">
        <f>SUM(AO44:AP44)</f>
        <v>391</v>
      </c>
      <c r="AP46" s="32"/>
      <c r="AQ46" s="27">
        <f>SUM(AQ44:AR44)</f>
        <v>590</v>
      </c>
      <c r="AR46" s="32"/>
      <c r="AW46" s="3" t="s">
        <v>55</v>
      </c>
      <c r="AX46" s="27">
        <f>SUM(AX44:AY44)</f>
        <v>500</v>
      </c>
      <c r="AY46" s="32"/>
      <c r="AZ46" s="27">
        <f>SUM(AZ44:BA44)</f>
        <v>455</v>
      </c>
      <c r="BA46" s="32"/>
      <c r="BB46" s="27">
        <f>SUM(BB44:BC44)</f>
        <v>302</v>
      </c>
      <c r="BC46" s="32"/>
      <c r="BD46" s="27">
        <f>SUM(BD44:BE44)</f>
        <v>450</v>
      </c>
      <c r="BE46" s="32"/>
      <c r="BF46" s="27">
        <f>SUM(BF44:BG44)</f>
        <v>590</v>
      </c>
      <c r="BG46" s="32"/>
    </row>
    <row r="47" spans="1:59" x14ac:dyDescent="0.2">
      <c r="D47" s="14" t="s">
        <v>56</v>
      </c>
      <c r="E47" s="30">
        <f>SUMIFS($C$5:$C$43,E$5:E$43,"x")+SUMIFS($C$5:$C$43,F$5:F$43,"x")</f>
        <v>268</v>
      </c>
      <c r="F47" s="31"/>
      <c r="G47" s="30">
        <f>SUMIFS($C$5:$C$43,G$5:G$43,"x")+SUMIFS($C$5:$C$43,H$5:H$43,"x")</f>
        <v>260</v>
      </c>
      <c r="H47" s="31"/>
      <c r="I47" s="30">
        <f>SUMIFS($C$5:$C$43,I$5:I$43,"x")+SUMIFS($C$5:$C$43,J$5:J$43,"x")</f>
        <v>157</v>
      </c>
      <c r="J47" s="31"/>
      <c r="K47" s="30">
        <f>SUMIFS($C$5:$C$43,K$5:K$43,"x")+SUMIFS($C$5:$C$43,L$5:L$43,"x")</f>
        <v>247</v>
      </c>
      <c r="L47" s="31"/>
      <c r="M47" s="30">
        <f>SUMIFS($C$5:$C$43,M$5:M$43,"x")+SUMIFS($C$5:$C$43,N$5:N$43,"x")</f>
        <v>295</v>
      </c>
      <c r="N47" s="31"/>
      <c r="S47" s="14" t="s">
        <v>56</v>
      </c>
      <c r="T47" s="30">
        <f>SUMIFS($C$5:$C$43,T$5:T$43,"x")+SUMIFS($C$5:$C$43,U$5:U$43,"x")</f>
        <v>255</v>
      </c>
      <c r="U47" s="31"/>
      <c r="V47" s="30">
        <f>SUMIFS($C$5:$C$43,V$5:V$43,"x")+SUMIFS($C$5:$C$43,W$5:W$43,"x")</f>
        <v>243</v>
      </c>
      <c r="W47" s="31"/>
      <c r="X47" s="30">
        <f>SUMIFS($C$5:$C$43,X$5:X$43,"x")+SUMIFS($C$5:$C$43,Y$5:Y$43,"x")</f>
        <v>173</v>
      </c>
      <c r="Y47" s="31"/>
      <c r="Z47" s="30">
        <f>SUMIFS($C$5:$C$43,Z$5:Z$43,"x")+SUMIFS($C$5:$C$43,AA$5:AA$43,"x")</f>
        <v>217</v>
      </c>
      <c r="AA47" s="31"/>
      <c r="AB47" s="30">
        <f>SUMIFS($C$5:$C$43,AB$5:AB$43,"x")+SUMIFS($C$5:$C$43,AC$5:AC$43,"x")</f>
        <v>306</v>
      </c>
      <c r="AC47" s="31"/>
      <c r="AH47" s="14" t="s">
        <v>56</v>
      </c>
      <c r="AI47" s="30">
        <f>SUMIFS($C$5:$C$43,AI$5:AI$43,"x")+SUMIFS($C$5:$C$43,AJ$5:AJ$43,"x")</f>
        <v>246</v>
      </c>
      <c r="AJ47" s="31"/>
      <c r="AK47" s="30">
        <f>SUMIFS($C$5:$C$43,AK$5:AK$43,"x")+SUMIFS($C$5:$C$43,AL$5:AL$43,"x")</f>
        <v>230</v>
      </c>
      <c r="AL47" s="31"/>
      <c r="AM47" s="30">
        <f>SUMIFS($C$5:$C$43,AM$5:AM$43,"x")+SUMIFS($C$5:$C$43,AN$5:AN$43,"x")</f>
        <v>164</v>
      </c>
      <c r="AN47" s="31"/>
      <c r="AO47" s="30">
        <f>SUMIFS($C$5:$C$43,AO$5:AO$43,"x")+SUMIFS($C$5:$C$43,AP$5:AP$43,"x")</f>
        <v>204</v>
      </c>
      <c r="AP47" s="31"/>
      <c r="AQ47" s="30">
        <f>SUMIFS($C$5:$C$43,AQ$5:AQ$43,"x")+SUMIFS($C$5:$C$43,AR$5:AR$43,"x")</f>
        <v>306</v>
      </c>
      <c r="AR47" s="31"/>
      <c r="AW47" s="14" t="s">
        <v>56</v>
      </c>
      <c r="AX47" s="30">
        <f>SUMIFS($C$5:$C$43,AX$5:AX$43,"x")+SUMIFS($C$5:$C$43,AY$5:AY$43,"x")</f>
        <v>246</v>
      </c>
      <c r="AY47" s="31"/>
      <c r="AZ47" s="30">
        <f>SUMIFS($C$5:$C$43,AZ$5:AZ$43,"x")+SUMIFS($C$5:$C$43,BA$5:BA$43,"x")</f>
        <v>240</v>
      </c>
      <c r="BA47" s="31"/>
      <c r="BB47" s="30">
        <f>SUMIFS($C$5:$C$43,BB$5:BB$43,"x")+SUMIFS($C$5:$C$43,BC$5:BC$43,"x")</f>
        <v>175</v>
      </c>
      <c r="BC47" s="31"/>
      <c r="BD47" s="30">
        <f>SUMIFS($C$5:$C$43,BD$5:BD$43,"x")+SUMIFS($C$5:$C$43,BE$5:BE$43,"x")</f>
        <v>221</v>
      </c>
      <c r="BE47" s="31"/>
      <c r="BF47" s="30">
        <f>SUMIFS($C$5:$C$43,BF$5:BF$43,"x")+SUMIFS($C$5:$C$43,BG$5:BG$43,"x")</f>
        <v>306</v>
      </c>
      <c r="BG47" s="31"/>
    </row>
    <row r="48" spans="1:59" ht="17.25" thickBot="1" x14ac:dyDescent="0.25">
      <c r="D48" s="15" t="s">
        <v>57</v>
      </c>
      <c r="E48" s="28">
        <f>SUMIFS($D$5:$D$43,E$5:E$43,"x")+SUMIFS($D$5:$D$43,F$5:F$43,"x")</f>
        <v>266</v>
      </c>
      <c r="F48" s="29"/>
      <c r="G48" s="28">
        <f>SUMIFS($D$5:$D$43,G$5:G$43,"x")+SUMIFS($D$5:$D$43,H$5:H$43,"x")</f>
        <v>229</v>
      </c>
      <c r="H48" s="29"/>
      <c r="I48" s="28">
        <f>SUMIFS($D$5:$D$43,I$5:I$43,"x")+SUMIFS($D$5:$D$43,J$5:J$43,"x")</f>
        <v>152</v>
      </c>
      <c r="J48" s="29"/>
      <c r="K48" s="28">
        <f>SUMIFS($D$5:$D$43,K$5:K$43,"x")+SUMIFS($D$5:$D$43,L$5:L$43,"x")</f>
        <v>213</v>
      </c>
      <c r="L48" s="29"/>
      <c r="M48" s="28">
        <f>SUMIFS($D$5:$D$43,M$5:M$43,"x")+SUMIFS($D$5:$D$43,N$5:N$43,"x")</f>
        <v>279</v>
      </c>
      <c r="N48" s="29"/>
      <c r="S48" s="15" t="s">
        <v>57</v>
      </c>
      <c r="T48" s="28">
        <f>SUMIFS($D$5:$D$43,T$5:T$43,"x")+SUMIFS($D$5:$D$43,U$5:U$43,"x")</f>
        <v>273</v>
      </c>
      <c r="U48" s="29"/>
      <c r="V48" s="28">
        <f>SUMIFS($D$5:$D$43,V$5:V$43,"x")+SUMIFS($D$5:$D$43,W$5:W$43,"x")</f>
        <v>216</v>
      </c>
      <c r="W48" s="29"/>
      <c r="X48" s="28">
        <f>SUMIFS($D$5:$D$43,X$5:X$43,"x")+SUMIFS($D$5:$D$43,Y$5:Y$43,"x")</f>
        <v>137</v>
      </c>
      <c r="Y48" s="29"/>
      <c r="Z48" s="28">
        <f>SUMIFS($D$5:$D$43,Z$5:Z$43,"x")+SUMIFS($D$5:$D$43,AA$5:AA$43,"x")</f>
        <v>203</v>
      </c>
      <c r="AA48" s="29"/>
      <c r="AB48" s="28">
        <f>SUMIFS($D$5:$D$43,AB$5:AB$43,"x")+SUMIFS($D$5:$D$43,AC$5:AC$43,"x")</f>
        <v>284</v>
      </c>
      <c r="AC48" s="29"/>
      <c r="AH48" s="15" t="s">
        <v>57</v>
      </c>
      <c r="AI48" s="28">
        <f>SUMIFS($D$5:$D$43,AI$5:AI$43,"x")+SUMIFS($D$5:$D$43,AJ$5:AJ$43,"x")</f>
        <v>254</v>
      </c>
      <c r="AJ48" s="29"/>
      <c r="AK48" s="28">
        <f>SUMIFS($D$5:$D$43,AK$5:AK$43,"x")+SUMIFS($D$5:$D$43,AL$5:AL$43,"x")</f>
        <v>202</v>
      </c>
      <c r="AL48" s="29"/>
      <c r="AM48" s="28">
        <f>SUMIFS($D$5:$D$43,AM$5:AM$43,"x")+SUMIFS($D$5:$D$43,AN$5:AN$43,"x")</f>
        <v>145</v>
      </c>
      <c r="AN48" s="29"/>
      <c r="AO48" s="28">
        <f>SUMIFS($D$5:$D$43,AO$5:AO$43,"x")+SUMIFS($D$5:$D$43,AP$5:AP$43,"x")</f>
        <v>187</v>
      </c>
      <c r="AP48" s="29"/>
      <c r="AQ48" s="28">
        <f>SUMIFS($D$5:$D$43,AQ$5:AQ$43,"x")+SUMIFS($D$5:$D$43,AR$5:AR$43,"x")</f>
        <v>284</v>
      </c>
      <c r="AR48" s="29"/>
      <c r="AW48" s="15" t="s">
        <v>57</v>
      </c>
      <c r="AX48" s="28">
        <f>SUMIFS($D$5:$D$43,AX$5:AX$43,"x")+SUMIFS($D$5:$D$43,AY$5:AY$43,"x")</f>
        <v>254</v>
      </c>
      <c r="AY48" s="29"/>
      <c r="AZ48" s="28">
        <f>SUMIFS($D$5:$D$43,AZ$5:AZ$43,"x")+SUMIFS($D$5:$D$43,BA$5:BA$43,"x")</f>
        <v>215</v>
      </c>
      <c r="BA48" s="29"/>
      <c r="BB48" s="28">
        <f>SUMIFS($D$5:$D$43,BB$5:BB$43,"x")+SUMIFS($D$5:$D$43,BC$5:BC$43,"x")</f>
        <v>127</v>
      </c>
      <c r="BC48" s="29"/>
      <c r="BD48" s="28">
        <f>SUMIFS($D$5:$D$43,BD$5:BD$43,"x")+SUMIFS($D$5:$D$43,BE$5:BE$43,"x")</f>
        <v>229</v>
      </c>
      <c r="BE48" s="29"/>
      <c r="BF48" s="28">
        <f>SUMIFS($D$5:$D$43,BF$5:BF$43,"x")+SUMIFS($D$5:$D$43,BG$5:BG$43,"x")</f>
        <v>284</v>
      </c>
      <c r="BG48" s="29"/>
    </row>
  </sheetData>
  <mergeCells count="100">
    <mergeCell ref="R3:R4"/>
    <mergeCell ref="A1:N1"/>
    <mergeCell ref="P1:AC1"/>
    <mergeCell ref="AE1:AR1"/>
    <mergeCell ref="AT1:BG1"/>
    <mergeCell ref="A3:A4"/>
    <mergeCell ref="B3:B4"/>
    <mergeCell ref="C3:C4"/>
    <mergeCell ref="D3:D4"/>
    <mergeCell ref="E3:F3"/>
    <mergeCell ref="G3:H3"/>
    <mergeCell ref="I3:J3"/>
    <mergeCell ref="K3:L3"/>
    <mergeCell ref="M3:N3"/>
    <mergeCell ref="P3:P4"/>
    <mergeCell ref="Q3:Q4"/>
    <mergeCell ref="AK3:AL3"/>
    <mergeCell ref="S3:S4"/>
    <mergeCell ref="T3:U3"/>
    <mergeCell ref="V3:W3"/>
    <mergeCell ref="X3:Y3"/>
    <mergeCell ref="Z3:AA3"/>
    <mergeCell ref="AB3:AC3"/>
    <mergeCell ref="AE3:AE4"/>
    <mergeCell ref="AF3:AF4"/>
    <mergeCell ref="AG3:AG4"/>
    <mergeCell ref="AH3:AH4"/>
    <mergeCell ref="AI3:AJ3"/>
    <mergeCell ref="BF3:BG3"/>
    <mergeCell ref="AM3:AN3"/>
    <mergeCell ref="AO3:AP3"/>
    <mergeCell ref="AQ3:AR3"/>
    <mergeCell ref="AT3:AT4"/>
    <mergeCell ref="AU3:AU4"/>
    <mergeCell ref="AV3:AV4"/>
    <mergeCell ref="AW3:AW4"/>
    <mergeCell ref="AX3:AY3"/>
    <mergeCell ref="AZ3:BA3"/>
    <mergeCell ref="BB3:BC3"/>
    <mergeCell ref="BD3:BE3"/>
    <mergeCell ref="AK46:AL46"/>
    <mergeCell ref="E46:F46"/>
    <mergeCell ref="G46:H46"/>
    <mergeCell ref="I46:J46"/>
    <mergeCell ref="K46:L46"/>
    <mergeCell ref="M46:N46"/>
    <mergeCell ref="T46:U46"/>
    <mergeCell ref="V46:W46"/>
    <mergeCell ref="X46:Y46"/>
    <mergeCell ref="Z46:AA46"/>
    <mergeCell ref="AB46:AC46"/>
    <mergeCell ref="AI46:AJ46"/>
    <mergeCell ref="BD46:BE46"/>
    <mergeCell ref="BF46:BG46"/>
    <mergeCell ref="E47:F47"/>
    <mergeCell ref="G47:H47"/>
    <mergeCell ref="I47:J47"/>
    <mergeCell ref="K47:L47"/>
    <mergeCell ref="M47:N47"/>
    <mergeCell ref="T47:U47"/>
    <mergeCell ref="V47:W47"/>
    <mergeCell ref="X47:Y47"/>
    <mergeCell ref="AM46:AN46"/>
    <mergeCell ref="AO46:AP46"/>
    <mergeCell ref="AQ46:AR46"/>
    <mergeCell ref="AX46:AY46"/>
    <mergeCell ref="AZ46:BA46"/>
    <mergeCell ref="BB46:BC46"/>
    <mergeCell ref="BF47:BG47"/>
    <mergeCell ref="Z47:AA47"/>
    <mergeCell ref="AB47:AC47"/>
    <mergeCell ref="AI47:AJ47"/>
    <mergeCell ref="AK47:AL47"/>
    <mergeCell ref="AM47:AN47"/>
    <mergeCell ref="AO47:AP47"/>
    <mergeCell ref="AQ47:AR47"/>
    <mergeCell ref="AX47:AY47"/>
    <mergeCell ref="AZ47:BA47"/>
    <mergeCell ref="BB47:BC47"/>
    <mergeCell ref="BD47:BE47"/>
    <mergeCell ref="AK48:AL48"/>
    <mergeCell ref="E48:F48"/>
    <mergeCell ref="G48:H48"/>
    <mergeCell ref="I48:J48"/>
    <mergeCell ref="K48:L48"/>
    <mergeCell ref="M48:N48"/>
    <mergeCell ref="T48:U48"/>
    <mergeCell ref="V48:W48"/>
    <mergeCell ref="X48:Y48"/>
    <mergeCell ref="Z48:AA48"/>
    <mergeCell ref="AB48:AC48"/>
    <mergeCell ref="AI48:AJ48"/>
    <mergeCell ref="BD48:BE48"/>
    <mergeCell ref="BF48:BG48"/>
    <mergeCell ref="AM48:AN48"/>
    <mergeCell ref="AO48:AP48"/>
    <mergeCell ref="AQ48:AR48"/>
    <mergeCell ref="AX48:AY48"/>
    <mergeCell ref="AZ48:BA48"/>
    <mergeCell ref="BB48:BC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 tru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Si Trung</dc:creator>
  <cp:lastModifiedBy>Nguyen Si Trung</cp:lastModifiedBy>
  <dcterms:created xsi:type="dcterms:W3CDTF">2026-04-07T11:36:20Z</dcterms:created>
  <dcterms:modified xsi:type="dcterms:W3CDTF">2026-04-20T17:54:28Z</dcterms:modified>
</cp:coreProperties>
</file>